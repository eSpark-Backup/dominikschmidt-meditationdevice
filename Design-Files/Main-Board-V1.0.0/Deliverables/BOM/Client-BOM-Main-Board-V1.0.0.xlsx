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59" i="1" l="1"/>
  <c r="B60" i="1"/>
  <c r="B58" i="1" l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<sst xmlns="http://schemas.openxmlformats.org/spreadsheetml/2006/main" count="420" uniqueCount="275">
  <si>
    <t>#</t>
  </si>
  <si>
    <t>Item Type</t>
  </si>
  <si>
    <t>Capacitor</t>
  </si>
  <si>
    <t>Capacitors</t>
  </si>
  <si>
    <t>TVS Diode</t>
  </si>
  <si>
    <t>Schottky Diode</t>
  </si>
  <si>
    <t>Protection Device</t>
  </si>
  <si>
    <t>Diode</t>
  </si>
  <si>
    <t>Fuse</t>
  </si>
  <si>
    <t>Connector</t>
  </si>
  <si>
    <t>Right Angle JST</t>
  </si>
  <si>
    <t>FFC, FPC Connector</t>
  </si>
  <si>
    <t>SD Card Connector</t>
  </si>
  <si>
    <t>Inductor</t>
  </si>
  <si>
    <t>LED</t>
  </si>
  <si>
    <t>Mosfet</t>
  </si>
  <si>
    <t>Resistor</t>
  </si>
  <si>
    <t>Resistors</t>
  </si>
  <si>
    <t>Tactile Switch</t>
  </si>
  <si>
    <t>Switch</t>
  </si>
  <si>
    <t>Rotary Encoders</t>
  </si>
  <si>
    <t>IC</t>
  </si>
  <si>
    <t>Module</t>
  </si>
  <si>
    <t>Designator</t>
  </si>
  <si>
    <t>C1, C11, C12</t>
  </si>
  <si>
    <t>C2, C4, C7, C13, C14, C15, C18, C24, C25</t>
  </si>
  <si>
    <t>C3</t>
  </si>
  <si>
    <t>C5</t>
  </si>
  <si>
    <t>C8, C16, C17</t>
  </si>
  <si>
    <t>C9</t>
  </si>
  <si>
    <t>C10</t>
  </si>
  <si>
    <t>C19</t>
  </si>
  <si>
    <t>C20</t>
  </si>
  <si>
    <t>C21</t>
  </si>
  <si>
    <t>C22, C23</t>
  </si>
  <si>
    <t>D1, D2, D3, D4</t>
  </si>
  <si>
    <t>D5</t>
  </si>
  <si>
    <t>D6, D7, D8, D9, D10, D11</t>
  </si>
  <si>
    <t>D12</t>
  </si>
  <si>
    <t>F1</t>
  </si>
  <si>
    <t>J1</t>
  </si>
  <si>
    <t>J2</t>
  </si>
  <si>
    <t>J3</t>
  </si>
  <si>
    <t>J4</t>
  </si>
  <si>
    <t>J5</t>
  </si>
  <si>
    <t>L1</t>
  </si>
  <si>
    <t>LED1</t>
  </si>
  <si>
    <t>LED2, LED3</t>
  </si>
  <si>
    <t>Q1</t>
  </si>
  <si>
    <t>Q2, Q3, Q4</t>
  </si>
  <si>
    <t>R1, R3</t>
  </si>
  <si>
    <t>R2, R28, R29, R38</t>
  </si>
  <si>
    <t>R4, R39</t>
  </si>
  <si>
    <t>R5, R15, R26, R30</t>
  </si>
  <si>
    <t>R6</t>
  </si>
  <si>
    <t>R7, R16, R31</t>
  </si>
  <si>
    <t>R8</t>
  </si>
  <si>
    <t>R9, R11, R17, R21, R22, R32, R42, R43, R44, R45</t>
  </si>
  <si>
    <t>R10</t>
  </si>
  <si>
    <t>R12</t>
  </si>
  <si>
    <t>R13</t>
  </si>
  <si>
    <t>R14</t>
  </si>
  <si>
    <t>R18</t>
  </si>
  <si>
    <t>R19, R37, R41</t>
  </si>
  <si>
    <t>R20</t>
  </si>
  <si>
    <t>R23, R24</t>
  </si>
  <si>
    <t>R25, R27</t>
  </si>
  <si>
    <t>R33</t>
  </si>
  <si>
    <t>R34, R35, R36</t>
  </si>
  <si>
    <t>R40</t>
  </si>
  <si>
    <t>R46</t>
  </si>
  <si>
    <t>SW1, SW2</t>
  </si>
  <si>
    <t>SW3</t>
  </si>
  <si>
    <t>SW4</t>
  </si>
  <si>
    <t>U1</t>
  </si>
  <si>
    <t>U2</t>
  </si>
  <si>
    <t>U3</t>
  </si>
  <si>
    <t>U4</t>
  </si>
  <si>
    <t>U5</t>
  </si>
  <si>
    <t>U6</t>
  </si>
  <si>
    <t>Description</t>
  </si>
  <si>
    <t>CAP CER 10UF 10V X7R 0603</t>
  </si>
  <si>
    <t>CAP CER 0.1UF 16V X7R 0402</t>
  </si>
  <si>
    <t>22uF 10V 5Ω ±20% 0805 Tantalum Capacitors ROHS</t>
  </si>
  <si>
    <t>CAP TANT 10UF 20% 10V 0603</t>
  </si>
  <si>
    <t>CAP CER 1UF 25V X7R 0603</t>
  </si>
  <si>
    <t>CAP CER 10000PF 50V C0G/NPO 0603</t>
  </si>
  <si>
    <t>CAP CER 22UF 10V X7R 0805</t>
  </si>
  <si>
    <t>CAP CER 1UF 16V X7S 0402</t>
  </si>
  <si>
    <t>CAP CER 0.1UF 25V X5R 0402</t>
  </si>
  <si>
    <t>CAP CER 22UF 10V X5R 0603</t>
  </si>
  <si>
    <t>CAP CER 10000PF 25V X5R 0402</t>
  </si>
  <si>
    <t>9.2V 6.4V 5V SOD-123FL TVS ROHS</t>
  </si>
  <si>
    <t>40V Single 500mV@3A 3A SMA Schottky Barrier Diodes (SBD) ROHS</t>
  </si>
  <si>
    <t>5V 10V 3.3V Bi-Directional SOD-882 ESD Protection Devices ROHS</t>
  </si>
  <si>
    <t>DIODE ZENER 3.3V 200MW SOD323F</t>
  </si>
  <si>
    <t>6V 2A 50A 1W -40℃~+85℃ 4A 4mΩ 5s 45mΩ 0805 Resettable Fuses ROHS</t>
  </si>
  <si>
    <t>Receptacle USB - Type C 6 - USB Connectors ROHS</t>
  </si>
  <si>
    <t>1x2P 1 2mm Male pin 2 -25℃~+85℃ 2A Surface Mount SMD,P=2mm Wire To Board / Wire To Wire Connector ROHS</t>
  </si>
  <si>
    <t>1x6P SH 1 1mm 6 SMD,P=1mm Wire To Board / Wire To Wire Connector ROHS</t>
  </si>
  <si>
    <t>SMD,P=0.5mm,Surface Mount，Right Angle</t>
  </si>
  <si>
    <t>CONN MICRO SD CARD PUSH-PUSH R/A</t>
  </si>
  <si>
    <t>4A 2.2uH ±20% 32mΩ SMD,5.4x5.2x2mm Power Inductors ROHS</t>
  </si>
  <si>
    <t>LED GREEN CLEAR CHIP SMD</t>
  </si>
  <si>
    <t>LED RED CLEAR CHIP SMD</t>
  </si>
  <si>
    <t>30V 4.1A 60mΩ@10V,4.1A 350mW 3V@250uA P Channel SOT-23 MOSFETs ROHS</t>
  </si>
  <si>
    <t>30V 5.8A 32mΩ@10V,5.8A 1.4W 1.4V@250uA N Channel SOT-23 MOSFETs ROHS</t>
  </si>
  <si>
    <t>RES 5.1K OHM 1% 1/10W 0603</t>
  </si>
  <si>
    <t>RES 0 OHM JUMPER 1/16W 0402</t>
  </si>
  <si>
    <t>RES 1K OHM 5% 1/16W 0402</t>
  </si>
  <si>
    <t>RES 0 OHM JUMPER 1/10W 0603</t>
  </si>
  <si>
    <t>RES 1K OHM 1% 1/8W 0805</t>
  </si>
  <si>
    <t>100mW Thick Film Resistors 75V ±100ppm/℃ ±1% 953Ω 0603 Chip Resistor - Surface Mount ROHS</t>
  </si>
  <si>
    <t>RES 10K OHM 1% 1/16W 0402</t>
  </si>
  <si>
    <t>100mW Thick Film Resistors 75V ±100ppm/℃ ±1% 15Ω 0603 Chip Resistor - Surface Mount ROHS</t>
  </si>
  <si>
    <t>RES SMD 1K OHM 1% 1/10W 0603</t>
  </si>
  <si>
    <t>RES 1.5K OHM 1% 1/16W 0402</t>
  </si>
  <si>
    <t>RES 4.7K OHM 1% 1/16W 0402</t>
  </si>
  <si>
    <t>RES 47K OHM 1% 1/16W 0402</t>
  </si>
  <si>
    <t>RES 100K OHM 1% 1/16W 0402</t>
  </si>
  <si>
    <t>RES 10 OHM 1% 1/4W 1206</t>
  </si>
  <si>
    <t>RES 1K OHM 1% 1/16W 0402</t>
  </si>
  <si>
    <t>RES 100 OHM 1% 1/16W 0402</t>
  </si>
  <si>
    <t>RES 470 OHM 1% 1/16W 0402</t>
  </si>
  <si>
    <t>RES 10K OHM 1% 1/5W 0402</t>
  </si>
  <si>
    <t>RES 200K OHM 1% 1/16W 0402</t>
  </si>
  <si>
    <t>50mA 100MΩ 100000 Times 260gf@±50gf 12V Surface Mount SPST SMD Tactile Switches ROHS</t>
  </si>
  <si>
    <t>SWITCH TACTILE SPST-NO 0.05A 12V</t>
  </si>
  <si>
    <t>SMD Rotary Encoders ROHS</t>
  </si>
  <si>
    <t>SOT-223 Linear Voltage Regulators (LDO) ROHS</t>
  </si>
  <si>
    <t>4V~6V Polymer 1 3.5A SOP-8-EP Battery Management ICs ROHS</t>
  </si>
  <si>
    <t>5.5V 1.5A 90mΩ Controlled Rise Time Self-Protecting Load Switch</t>
  </si>
  <si>
    <t>IC SUPERVISOR 2 CHANNEL 6SON</t>
  </si>
  <si>
    <t>IC FF D-TYPE SNGL 1BIT US8</t>
  </si>
  <si>
    <t>RF TXRX MODULE BT PCB TRACE SMD</t>
  </si>
  <si>
    <t>Footprint</t>
  </si>
  <si>
    <t>Cap-0603</t>
  </si>
  <si>
    <t>Cap-0402</t>
  </si>
  <si>
    <t>Tant-0805</t>
  </si>
  <si>
    <t>Tant-0603</t>
  </si>
  <si>
    <t>Cap-0805</t>
  </si>
  <si>
    <t>SOD-123 (Bi-Directional)</t>
  </si>
  <si>
    <t>SMA</t>
  </si>
  <si>
    <t>SOD-882 Bi Directional</t>
  </si>
  <si>
    <t>SOD323F</t>
  </si>
  <si>
    <t>Fuse-0805</t>
  </si>
  <si>
    <t>WAFER-PH2.0-2PWB</t>
  </si>
  <si>
    <t>AFC07-S15ECA-00</t>
  </si>
  <si>
    <t>DM3BT-DSF-PEJS</t>
  </si>
  <si>
    <t>LED-0402</t>
  </si>
  <si>
    <t>SOT-23</t>
  </si>
  <si>
    <t>sot-23</t>
  </si>
  <si>
    <t>Res-0603</t>
  </si>
  <si>
    <t>Res-0402</t>
  </si>
  <si>
    <t>RES-0805</t>
  </si>
  <si>
    <t>Res-1206</t>
  </si>
  <si>
    <t>TP12422673</t>
  </si>
  <si>
    <t>B3U-1000P</t>
  </si>
  <si>
    <t>EC05E1220401</t>
  </si>
  <si>
    <t>SOT- 223</t>
  </si>
  <si>
    <t>8-SO-EP_</t>
  </si>
  <si>
    <t>SC-70-6</t>
  </si>
  <si>
    <t>6-SON (1.45x1)</t>
  </si>
  <si>
    <t>VFSOP-8-2.3mm</t>
  </si>
  <si>
    <t>38-SMD Module</t>
  </si>
  <si>
    <t>Manufacturer Part Number</t>
  </si>
  <si>
    <t>GRM188Z71A106KA73D</t>
  </si>
  <si>
    <t>CC0402JRX7R7BB104</t>
  </si>
  <si>
    <t>TCTP1A226M8R</t>
  </si>
  <si>
    <t>TR8M106M010C2000</t>
  </si>
  <si>
    <t>C1608X7R1E105K080AB</t>
  </si>
  <si>
    <t>CC0603JRNPO9BN103</t>
  </si>
  <si>
    <t>GRM21BZ71A226ME15L</t>
  </si>
  <si>
    <t>GRM155C71C105KE11D</t>
  </si>
  <si>
    <t>CC0402KRX5R8BB104</t>
  </si>
  <si>
    <t>CC0603MRX5R6BB226</t>
  </si>
  <si>
    <t>CC0402KRX5R8BB103</t>
  </si>
  <si>
    <t>SMF5.0CA</t>
  </si>
  <si>
    <t>SM340A</t>
  </si>
  <si>
    <t>LESD8D3.3CAT5G</t>
  </si>
  <si>
    <t>MM3Z3V3B</t>
  </si>
  <si>
    <t>BSMD0805L-200</t>
  </si>
  <si>
    <t>Type-C-31-M-17</t>
  </si>
  <si>
    <t>C145963</t>
  </si>
  <si>
    <t>YSPI0520-2R2M</t>
  </si>
  <si>
    <t>XZVG68W-2</t>
  </si>
  <si>
    <t>XZMDK68W-2</t>
  </si>
  <si>
    <t>AO3407</t>
  </si>
  <si>
    <t>AO3400A</t>
  </si>
  <si>
    <t>RC0603FR-075K1L</t>
  </si>
  <si>
    <t>RC0402FR-070RL</t>
  </si>
  <si>
    <t>RC0402JR-071KL</t>
  </si>
  <si>
    <t>RC0603JR-070RL</t>
  </si>
  <si>
    <t>RC0805FR-071KL</t>
  </si>
  <si>
    <t>FRC0603F9530TS</t>
  </si>
  <si>
    <t>RC0402FR-0710KL</t>
  </si>
  <si>
    <t>FRC0603F15R0TS</t>
  </si>
  <si>
    <t>CRCW06031K00FKEA</t>
  </si>
  <si>
    <t>RC0402FR-071K5L</t>
  </si>
  <si>
    <t>RC0402FR-074K7L</t>
  </si>
  <si>
    <t>RC0402FR-0747KL</t>
  </si>
  <si>
    <t>RC0402FR-07100KL</t>
  </si>
  <si>
    <t>RC1206FR-0710RL</t>
  </si>
  <si>
    <t>RC0402FR-071KL</t>
  </si>
  <si>
    <t>RC0402FR-07100RL</t>
  </si>
  <si>
    <t>RC0402FR-07470RL</t>
  </si>
  <si>
    <t>SR0402FR-7T10KL</t>
  </si>
  <si>
    <t>RC0402FR-07200KL</t>
  </si>
  <si>
    <t>AMS1117-3.3</t>
  </si>
  <si>
    <t>SLM6600</t>
  </si>
  <si>
    <t>TPS22919DCKR</t>
  </si>
  <si>
    <t>TPS3421EGDRYR</t>
  </si>
  <si>
    <t>NC7SZ74K8X</t>
  </si>
  <si>
    <t>ESP32-WROOM-32E-N8R2</t>
  </si>
  <si>
    <t>Manufacturer</t>
  </si>
  <si>
    <t>Murata</t>
  </si>
  <si>
    <t>Yageo</t>
  </si>
  <si>
    <t>Rohm</t>
  </si>
  <si>
    <t>Vishay Sprague</t>
  </si>
  <si>
    <t>TDK</t>
  </si>
  <si>
    <t>GOODWORK</t>
  </si>
  <si>
    <t>LRC</t>
  </si>
  <si>
    <t>ON Semiconductor / Fairchild</t>
  </si>
  <si>
    <t>BHFUSE</t>
  </si>
  <si>
    <t>Koren Hroparts Elec</t>
  </si>
  <si>
    <t>XUNPU</t>
  </si>
  <si>
    <t>BOOMELE</t>
  </si>
  <si>
    <t>JUSHUO</t>
  </si>
  <si>
    <t>Hirose</t>
  </si>
  <si>
    <t>YJYCOIN</t>
  </si>
  <si>
    <t>SunLED</t>
  </si>
  <si>
    <t>Guangdong Hottech</t>
  </si>
  <si>
    <t>BORN</t>
  </si>
  <si>
    <t>FOJAN</t>
  </si>
  <si>
    <t>Vishay Dale</t>
  </si>
  <si>
    <t>ROCPU Switch</t>
  </si>
  <si>
    <t>Omron</t>
  </si>
  <si>
    <t>ALPSALPINE</t>
  </si>
  <si>
    <t>GUOXIN JIAPIN SEMICONDUCTOR</t>
  </si>
  <si>
    <t>SOLA-IC</t>
  </si>
  <si>
    <t>Texas Instruments</t>
  </si>
  <si>
    <t>Espressif Systems</t>
  </si>
  <si>
    <t>10uF</t>
  </si>
  <si>
    <t>0.1uF</t>
  </si>
  <si>
    <t>22uF</t>
  </si>
  <si>
    <t>1uF</t>
  </si>
  <si>
    <t>10nF</t>
  </si>
  <si>
    <t>100nF</t>
  </si>
  <si>
    <t>0.01uF</t>
  </si>
  <si>
    <t>2.2uH</t>
  </si>
  <si>
    <t>5.1K</t>
  </si>
  <si>
    <t>0R</t>
  </si>
  <si>
    <t>1K</t>
  </si>
  <si>
    <t>DNP</t>
  </si>
  <si>
    <t>953R</t>
  </si>
  <si>
    <t>10K</t>
  </si>
  <si>
    <t>15R</t>
  </si>
  <si>
    <t>1.5K</t>
  </si>
  <si>
    <t>4.7K</t>
  </si>
  <si>
    <t>47K</t>
  </si>
  <si>
    <t>100K</t>
  </si>
  <si>
    <t>10R</t>
  </si>
  <si>
    <t>100R</t>
  </si>
  <si>
    <t>470R</t>
  </si>
  <si>
    <t>200K</t>
  </si>
  <si>
    <t>Quantity</t>
  </si>
  <si>
    <t>Battery</t>
  </si>
  <si>
    <t>LCD</t>
  </si>
  <si>
    <t>IPS 1.8 inch 15PIN SPI 262K Color TFT LCD Capacitive Round Screen ST77916 Drive IC 360(RGB)*360 Intelligent Wear Knob Screen</t>
  </si>
  <si>
    <t>-</t>
  </si>
  <si>
    <t>Aliexpress</t>
  </si>
  <si>
    <t>3.7V 2000mAh 103450 Battery Lithium Polymer Batteries for POS Machines Bluetooth Speakers Anti-lost Devices Toys Camping Lights</t>
  </si>
  <si>
    <t>Remarks</t>
  </si>
  <si>
    <t>value</t>
  </si>
  <si>
    <t>DO NOT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</si>
</sst>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7" xfId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liexpress.us/item/1005008143098425.html?spm=a2g0o.detail.pcDetailTopMoreOtherSeller.7.c89ceBe2eBe2yp&amp;gps-id=pcDetailTopMoreOtherSeller&amp;scm=1007.40196.417130.0&amp;scm_id=1007.40196.417130.0&amp;scm-url=1007.40196.417130.0&amp;pvid=267ca87e-568d-4cf5-8ec2" TargetMode="External"/><Relationship Id="rId1" Type="http://schemas.openxmlformats.org/officeDocument/2006/relationships/hyperlink" Target="https://www.aliexpress.com/item/1005007316063855.html?spm=a2g0o.order_list.order_list_main.31.4a783d1277oQyW&amp;gatewayAdapt=4itemAda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0"/>
  <sheetViews>
    <sheetView tabSelected="1" workbookViewId="0">
      <selection activeCell="N40" sqref="N40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0" bestFit="1" customWidth="1"/>
    <col min="7" max="7" width="25.28515625" bestFit="1" customWidth="1"/>
    <col min="8" max="8" width="21.42578125" bestFit="1" customWidth="1"/>
    <col min="9" max="9" width="5.85546875" bestFit="1" customWidth="1"/>
    <col min="10" max="10" width="8.7109375" bestFit="1" customWidth="1"/>
    <col min="11" max="11" width="11.5703125" bestFit="1" customWidth="1"/>
    <col min="13" max="13" width="10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23</v>
      </c>
      <c r="E2" s="6" t="s">
        <v>80</v>
      </c>
      <c r="F2" s="5" t="s">
        <v>135</v>
      </c>
      <c r="G2" s="6" t="s">
        <v>165</v>
      </c>
      <c r="H2" s="5" t="s">
        <v>214</v>
      </c>
      <c r="I2" s="6" t="s">
        <v>273</v>
      </c>
      <c r="J2" s="5" t="s">
        <v>265</v>
      </c>
      <c r="K2" s="5" t="s">
        <v>272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24</v>
      </c>
      <c r="E3" s="8" t="s">
        <v>81</v>
      </c>
      <c r="F3" s="7" t="s">
        <v>136</v>
      </c>
      <c r="G3" s="8" t="s">
        <v>166</v>
      </c>
      <c r="H3" s="7" t="s">
        <v>215</v>
      </c>
      <c r="I3" s="8" t="s">
        <v>242</v>
      </c>
      <c r="J3" s="7">
        <v>3</v>
      </c>
      <c r="K3" s="7"/>
    </row>
    <row r="4" spans="1:11" ht="15.75" thickBot="1" x14ac:dyDescent="0.3">
      <c r="A4" s="1"/>
      <c r="B4" s="11">
        <f t="shared" ref="B4:B60" si="0">ROW(B4) - ROW($B$2)</f>
        <v>2</v>
      </c>
      <c r="C4" s="13" t="s">
        <v>2</v>
      </c>
      <c r="D4" s="9" t="s">
        <v>25</v>
      </c>
      <c r="E4" s="10" t="s">
        <v>82</v>
      </c>
      <c r="F4" s="9" t="s">
        <v>137</v>
      </c>
      <c r="G4" s="10" t="s">
        <v>167</v>
      </c>
      <c r="H4" s="9" t="s">
        <v>216</v>
      </c>
      <c r="I4" s="10" t="s">
        <v>243</v>
      </c>
      <c r="J4" s="9">
        <v>9</v>
      </c>
      <c r="K4" s="9"/>
    </row>
    <row r="5" spans="1:11" ht="24.75" thickBot="1" x14ac:dyDescent="0.3">
      <c r="A5" s="1"/>
      <c r="B5" s="11">
        <f>ROW(B5) - ROW($B$2)</f>
        <v>3</v>
      </c>
      <c r="C5" s="12" t="s">
        <v>2</v>
      </c>
      <c r="D5" s="7" t="s">
        <v>26</v>
      </c>
      <c r="E5" s="8" t="s">
        <v>83</v>
      </c>
      <c r="F5" s="7" t="s">
        <v>138</v>
      </c>
      <c r="G5" s="8" t="s">
        <v>168</v>
      </c>
      <c r="H5" s="7" t="s">
        <v>217</v>
      </c>
      <c r="I5" s="8" t="s">
        <v>244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27</v>
      </c>
      <c r="E6" s="10" t="s">
        <v>84</v>
      </c>
      <c r="F6" s="9" t="s">
        <v>139</v>
      </c>
      <c r="G6" s="10" t="s">
        <v>169</v>
      </c>
      <c r="H6" s="9" t="s">
        <v>218</v>
      </c>
      <c r="I6" s="10" t="s">
        <v>242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28</v>
      </c>
      <c r="E7" s="8" t="s">
        <v>85</v>
      </c>
      <c r="F7" s="7" t="s">
        <v>136</v>
      </c>
      <c r="G7" s="8" t="s">
        <v>170</v>
      </c>
      <c r="H7" s="7" t="s">
        <v>219</v>
      </c>
      <c r="I7" s="8" t="s">
        <v>245</v>
      </c>
      <c r="J7" s="7">
        <v>3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29</v>
      </c>
      <c r="E8" s="10" t="s">
        <v>86</v>
      </c>
      <c r="F8" s="9" t="s">
        <v>136</v>
      </c>
      <c r="G8" s="10" t="s">
        <v>171</v>
      </c>
      <c r="H8" s="9" t="s">
        <v>216</v>
      </c>
      <c r="I8" s="10" t="s">
        <v>246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30</v>
      </c>
      <c r="E9" s="8" t="s">
        <v>87</v>
      </c>
      <c r="F9" s="7" t="s">
        <v>140</v>
      </c>
      <c r="G9" s="8" t="s">
        <v>172</v>
      </c>
      <c r="H9" s="7" t="s">
        <v>215</v>
      </c>
      <c r="I9" s="8" t="s">
        <v>244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3</v>
      </c>
      <c r="D10" s="9" t="s">
        <v>31</v>
      </c>
      <c r="E10" s="10" t="s">
        <v>88</v>
      </c>
      <c r="F10" s="9" t="s">
        <v>137</v>
      </c>
      <c r="G10" s="10" t="s">
        <v>173</v>
      </c>
      <c r="H10" s="9" t="s">
        <v>215</v>
      </c>
      <c r="I10" s="10" t="s">
        <v>245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32</v>
      </c>
      <c r="E11" s="8" t="s">
        <v>89</v>
      </c>
      <c r="F11" s="7" t="s">
        <v>137</v>
      </c>
      <c r="G11" s="8" t="s">
        <v>174</v>
      </c>
      <c r="H11" s="7" t="s">
        <v>216</v>
      </c>
      <c r="I11" s="8" t="s">
        <v>247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33</v>
      </c>
      <c r="E12" s="10" t="s">
        <v>90</v>
      </c>
      <c r="F12" s="9" t="s">
        <v>136</v>
      </c>
      <c r="G12" s="10" t="s">
        <v>175</v>
      </c>
      <c r="H12" s="9" t="s">
        <v>216</v>
      </c>
      <c r="I12" s="10" t="s">
        <v>244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34</v>
      </c>
      <c r="E13" s="8" t="s">
        <v>91</v>
      </c>
      <c r="F13" s="7" t="s">
        <v>137</v>
      </c>
      <c r="G13" s="8" t="s">
        <v>176</v>
      </c>
      <c r="H13" s="7" t="s">
        <v>216</v>
      </c>
      <c r="I13" s="8" t="s">
        <v>248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4</v>
      </c>
      <c r="D14" s="9" t="s">
        <v>35</v>
      </c>
      <c r="E14" s="10" t="s">
        <v>92</v>
      </c>
      <c r="F14" s="9" t="s">
        <v>141</v>
      </c>
      <c r="G14" s="10" t="s">
        <v>177</v>
      </c>
      <c r="H14" s="9" t="s">
        <v>220</v>
      </c>
      <c r="I14" s="10" t="s">
        <v>269</v>
      </c>
      <c r="J14" s="9">
        <v>4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5</v>
      </c>
      <c r="D15" s="7" t="s">
        <v>36</v>
      </c>
      <c r="E15" s="8" t="s">
        <v>93</v>
      </c>
      <c r="F15" s="7" t="s">
        <v>142</v>
      </c>
      <c r="G15" s="8" t="s">
        <v>178</v>
      </c>
      <c r="H15" s="7" t="s">
        <v>221</v>
      </c>
      <c r="I15" s="10" t="s">
        <v>269</v>
      </c>
      <c r="J15" s="7">
        <v>1</v>
      </c>
      <c r="K15" s="7"/>
    </row>
    <row r="16" spans="1:11" ht="24.75" thickBot="1" x14ac:dyDescent="0.3">
      <c r="A16" s="1"/>
      <c r="B16" s="11">
        <f t="shared" si="0"/>
        <v>14</v>
      </c>
      <c r="C16" s="13" t="s">
        <v>6</v>
      </c>
      <c r="D16" s="9" t="s">
        <v>37</v>
      </c>
      <c r="E16" s="10" t="s">
        <v>94</v>
      </c>
      <c r="F16" s="9" t="s">
        <v>143</v>
      </c>
      <c r="G16" s="10" t="s">
        <v>179</v>
      </c>
      <c r="H16" s="9" t="s">
        <v>221</v>
      </c>
      <c r="I16" s="10" t="s">
        <v>269</v>
      </c>
      <c r="J16" s="9">
        <v>6</v>
      </c>
      <c r="K16" s="9"/>
    </row>
    <row r="17" spans="1:11" ht="24.75" thickBot="1" x14ac:dyDescent="0.3">
      <c r="A17" s="1"/>
      <c r="B17" s="11">
        <f>ROW(B17) - ROW($B$2)</f>
        <v>15</v>
      </c>
      <c r="C17" s="12" t="s">
        <v>7</v>
      </c>
      <c r="D17" s="7" t="s">
        <v>38</v>
      </c>
      <c r="E17" s="8" t="s">
        <v>95</v>
      </c>
      <c r="F17" s="7" t="s">
        <v>144</v>
      </c>
      <c r="G17" s="8" t="s">
        <v>180</v>
      </c>
      <c r="H17" s="7" t="s">
        <v>222</v>
      </c>
      <c r="I17" s="10" t="s">
        <v>269</v>
      </c>
      <c r="J17" s="7">
        <v>1</v>
      </c>
      <c r="K17" s="7"/>
    </row>
    <row r="18" spans="1:11" ht="24.75" thickBot="1" x14ac:dyDescent="0.3">
      <c r="A18" s="1"/>
      <c r="B18" s="11">
        <f t="shared" si="0"/>
        <v>16</v>
      </c>
      <c r="C18" s="13" t="s">
        <v>8</v>
      </c>
      <c r="D18" s="9" t="s">
        <v>39</v>
      </c>
      <c r="E18" s="10" t="s">
        <v>96</v>
      </c>
      <c r="F18" s="9" t="s">
        <v>145</v>
      </c>
      <c r="G18" s="10" t="s">
        <v>181</v>
      </c>
      <c r="H18" s="9" t="s">
        <v>223</v>
      </c>
      <c r="I18" s="10" t="s">
        <v>269</v>
      </c>
      <c r="J18" s="9">
        <v>1</v>
      </c>
      <c r="K18" s="9"/>
    </row>
    <row r="19" spans="1:11" ht="24.75" thickBot="1" x14ac:dyDescent="0.3">
      <c r="A19" s="1"/>
      <c r="B19" s="11">
        <f>ROW(B19) - ROW($B$2)</f>
        <v>17</v>
      </c>
      <c r="C19" s="12" t="s">
        <v>9</v>
      </c>
      <c r="D19" s="7" t="s">
        <v>40</v>
      </c>
      <c r="E19" s="8" t="s">
        <v>97</v>
      </c>
      <c r="F19" s="7" t="s">
        <v>269</v>
      </c>
      <c r="G19" s="8" t="s">
        <v>182</v>
      </c>
      <c r="H19" s="7" t="s">
        <v>224</v>
      </c>
      <c r="I19" s="10" t="s">
        <v>269</v>
      </c>
      <c r="J19" s="7">
        <v>1</v>
      </c>
      <c r="K19" s="7"/>
    </row>
    <row r="20" spans="1:11" ht="48.75" thickBot="1" x14ac:dyDescent="0.3">
      <c r="A20" s="1"/>
      <c r="B20" s="11">
        <f t="shared" si="0"/>
        <v>18</v>
      </c>
      <c r="C20" s="13" t="s">
        <v>10</v>
      </c>
      <c r="D20" s="9" t="s">
        <v>41</v>
      </c>
      <c r="E20" s="10" t="s">
        <v>98</v>
      </c>
      <c r="F20" s="7" t="s">
        <v>269</v>
      </c>
      <c r="G20" s="10" t="s">
        <v>146</v>
      </c>
      <c r="H20" s="9" t="s">
        <v>225</v>
      </c>
      <c r="I20" s="10" t="s">
        <v>269</v>
      </c>
      <c r="J20" s="9">
        <v>1</v>
      </c>
      <c r="K20" s="9"/>
    </row>
    <row r="21" spans="1:11" ht="36.75" thickBot="1" x14ac:dyDescent="0.3">
      <c r="A21" s="1"/>
      <c r="B21" s="11">
        <f>ROW(B21) - ROW($B$2)</f>
        <v>19</v>
      </c>
      <c r="C21" s="12" t="s">
        <v>9</v>
      </c>
      <c r="D21" s="7" t="s">
        <v>42</v>
      </c>
      <c r="E21" s="8" t="s">
        <v>99</v>
      </c>
      <c r="F21" s="7" t="s">
        <v>269</v>
      </c>
      <c r="G21" s="8" t="s">
        <v>183</v>
      </c>
      <c r="H21" s="7" t="s">
        <v>226</v>
      </c>
      <c r="I21" s="10" t="s">
        <v>269</v>
      </c>
      <c r="J21" s="7">
        <v>1</v>
      </c>
      <c r="K21" s="7"/>
    </row>
    <row r="22" spans="1:11" ht="24.75" thickBot="1" x14ac:dyDescent="0.3">
      <c r="A22" s="1"/>
      <c r="B22" s="11">
        <f t="shared" si="0"/>
        <v>20</v>
      </c>
      <c r="C22" s="13" t="s">
        <v>11</v>
      </c>
      <c r="D22" s="9" t="s">
        <v>43</v>
      </c>
      <c r="E22" s="10" t="s">
        <v>100</v>
      </c>
      <c r="F22" s="7" t="s">
        <v>269</v>
      </c>
      <c r="G22" s="10" t="s">
        <v>147</v>
      </c>
      <c r="H22" s="9" t="s">
        <v>227</v>
      </c>
      <c r="I22" s="10" t="s">
        <v>269</v>
      </c>
      <c r="J22" s="9">
        <v>1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12</v>
      </c>
      <c r="D23" s="7" t="s">
        <v>44</v>
      </c>
      <c r="E23" s="8" t="s">
        <v>101</v>
      </c>
      <c r="F23" s="7" t="s">
        <v>269</v>
      </c>
      <c r="G23" s="8" t="s">
        <v>148</v>
      </c>
      <c r="H23" s="7" t="s">
        <v>228</v>
      </c>
      <c r="I23" s="10" t="s">
        <v>269</v>
      </c>
      <c r="J23" s="7">
        <v>1</v>
      </c>
      <c r="K23" s="7"/>
    </row>
    <row r="24" spans="1:11" ht="36.75" thickBot="1" x14ac:dyDescent="0.3">
      <c r="A24" s="1"/>
      <c r="B24" s="11">
        <f t="shared" si="0"/>
        <v>22</v>
      </c>
      <c r="C24" s="13" t="s">
        <v>13</v>
      </c>
      <c r="D24" s="9" t="s">
        <v>45</v>
      </c>
      <c r="E24" s="10" t="s">
        <v>102</v>
      </c>
      <c r="F24" s="7" t="s">
        <v>269</v>
      </c>
      <c r="G24" s="10" t="s">
        <v>184</v>
      </c>
      <c r="H24" s="9" t="s">
        <v>229</v>
      </c>
      <c r="I24" s="10" t="s">
        <v>249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14</v>
      </c>
      <c r="D25" s="7" t="s">
        <v>46</v>
      </c>
      <c r="E25" s="8" t="s">
        <v>103</v>
      </c>
      <c r="F25" s="7" t="s">
        <v>149</v>
      </c>
      <c r="G25" s="8" t="s">
        <v>185</v>
      </c>
      <c r="H25" s="7" t="s">
        <v>230</v>
      </c>
      <c r="I25" s="8" t="s">
        <v>269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14</v>
      </c>
      <c r="D26" s="9" t="s">
        <v>47</v>
      </c>
      <c r="E26" s="10" t="s">
        <v>104</v>
      </c>
      <c r="F26" s="9" t="s">
        <v>149</v>
      </c>
      <c r="G26" s="10" t="s">
        <v>186</v>
      </c>
      <c r="H26" s="9" t="s">
        <v>230</v>
      </c>
      <c r="I26" s="10" t="s">
        <v>269</v>
      </c>
      <c r="J26" s="9">
        <v>2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15</v>
      </c>
      <c r="D27" s="7" t="s">
        <v>48</v>
      </c>
      <c r="E27" s="8" t="s">
        <v>105</v>
      </c>
      <c r="F27" s="7" t="s">
        <v>150</v>
      </c>
      <c r="G27" s="8" t="s">
        <v>187</v>
      </c>
      <c r="H27" s="7" t="s">
        <v>231</v>
      </c>
      <c r="I27" s="8" t="s">
        <v>269</v>
      </c>
      <c r="J27" s="7">
        <v>1</v>
      </c>
      <c r="K27" s="7"/>
    </row>
    <row r="28" spans="1:11" ht="36.75" thickBot="1" x14ac:dyDescent="0.3">
      <c r="A28" s="1"/>
      <c r="B28" s="11">
        <f t="shared" si="0"/>
        <v>26</v>
      </c>
      <c r="C28" s="13" t="s">
        <v>15</v>
      </c>
      <c r="D28" s="9" t="s">
        <v>49</v>
      </c>
      <c r="E28" s="10" t="s">
        <v>106</v>
      </c>
      <c r="F28" s="9" t="s">
        <v>151</v>
      </c>
      <c r="G28" s="10" t="s">
        <v>188</v>
      </c>
      <c r="H28" s="9" t="s">
        <v>232</v>
      </c>
      <c r="I28" s="8" t="s">
        <v>269</v>
      </c>
      <c r="J28" s="9">
        <v>3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16</v>
      </c>
      <c r="D29" s="7" t="s">
        <v>50</v>
      </c>
      <c r="E29" s="8" t="s">
        <v>107</v>
      </c>
      <c r="F29" s="7" t="s">
        <v>152</v>
      </c>
      <c r="G29" s="8" t="s">
        <v>189</v>
      </c>
      <c r="H29" s="7" t="s">
        <v>216</v>
      </c>
      <c r="I29" s="8" t="s">
        <v>250</v>
      </c>
      <c r="J29" s="7">
        <v>2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17</v>
      </c>
      <c r="D30" s="9" t="s">
        <v>51</v>
      </c>
      <c r="E30" s="10" t="s">
        <v>108</v>
      </c>
      <c r="F30" s="9" t="s">
        <v>153</v>
      </c>
      <c r="G30" s="10" t="s">
        <v>190</v>
      </c>
      <c r="H30" s="9" t="s">
        <v>216</v>
      </c>
      <c r="I30" s="10" t="s">
        <v>251</v>
      </c>
      <c r="J30" s="9">
        <v>4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16</v>
      </c>
      <c r="D31" s="7" t="s">
        <v>52</v>
      </c>
      <c r="E31" s="8" t="s">
        <v>109</v>
      </c>
      <c r="F31" s="7" t="s">
        <v>153</v>
      </c>
      <c r="G31" s="8" t="s">
        <v>191</v>
      </c>
      <c r="H31" s="7" t="s">
        <v>216</v>
      </c>
      <c r="I31" s="8" t="s">
        <v>252</v>
      </c>
      <c r="J31" s="7">
        <v>2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16</v>
      </c>
      <c r="D32" s="9" t="s">
        <v>53</v>
      </c>
      <c r="E32" s="10" t="s">
        <v>110</v>
      </c>
      <c r="F32" s="9" t="s">
        <v>152</v>
      </c>
      <c r="G32" s="10" t="s">
        <v>192</v>
      </c>
      <c r="H32" s="9" t="s">
        <v>216</v>
      </c>
      <c r="I32" s="10" t="s">
        <v>251</v>
      </c>
      <c r="J32" s="9">
        <v>4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16</v>
      </c>
      <c r="D33" s="7" t="s">
        <v>54</v>
      </c>
      <c r="E33" s="8" t="s">
        <v>111</v>
      </c>
      <c r="F33" s="7" t="s">
        <v>154</v>
      </c>
      <c r="G33" s="8" t="s">
        <v>193</v>
      </c>
      <c r="H33" s="7" t="s">
        <v>216</v>
      </c>
      <c r="I33" s="8" t="s">
        <v>252</v>
      </c>
      <c r="J33" s="7">
        <v>1</v>
      </c>
      <c r="K33" s="7"/>
    </row>
    <row r="34" spans="1:11" ht="26.25" thickBot="1" x14ac:dyDescent="0.3">
      <c r="A34" s="1"/>
      <c r="B34" s="11">
        <f t="shared" si="0"/>
        <v>32</v>
      </c>
      <c r="C34" s="13" t="s">
        <v>16</v>
      </c>
      <c r="D34" s="16" t="s">
        <v>55</v>
      </c>
      <c r="E34" s="17" t="s">
        <v>110</v>
      </c>
      <c r="F34" s="16" t="s">
        <v>152</v>
      </c>
      <c r="G34" s="17" t="s">
        <v>192</v>
      </c>
      <c r="H34" s="16" t="s">
        <v>216</v>
      </c>
      <c r="I34" s="17" t="s">
        <v>253</v>
      </c>
      <c r="J34" s="16">
        <v>3</v>
      </c>
      <c r="K34" s="18" t="s">
        <v>274</v>
      </c>
    </row>
    <row r="35" spans="1:11" ht="36.75" thickBot="1" x14ac:dyDescent="0.3">
      <c r="A35" s="1"/>
      <c r="B35" s="11">
        <f>ROW(B35) - ROW($B$2)</f>
        <v>33</v>
      </c>
      <c r="C35" s="12" t="s">
        <v>16</v>
      </c>
      <c r="D35" s="7" t="s">
        <v>56</v>
      </c>
      <c r="E35" s="8" t="s">
        <v>112</v>
      </c>
      <c r="F35" s="7" t="s">
        <v>152</v>
      </c>
      <c r="G35" s="8" t="s">
        <v>194</v>
      </c>
      <c r="H35" s="7" t="s">
        <v>233</v>
      </c>
      <c r="I35" s="8" t="s">
        <v>254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16</v>
      </c>
      <c r="D36" s="9" t="s">
        <v>57</v>
      </c>
      <c r="E36" s="10" t="s">
        <v>113</v>
      </c>
      <c r="F36" s="9" t="s">
        <v>153</v>
      </c>
      <c r="G36" s="10" t="s">
        <v>195</v>
      </c>
      <c r="H36" s="9" t="s">
        <v>216</v>
      </c>
      <c r="I36" s="10" t="s">
        <v>255</v>
      </c>
      <c r="J36" s="9">
        <v>10</v>
      </c>
      <c r="K36" s="9"/>
    </row>
    <row r="37" spans="1:11" ht="36.75" thickBot="1" x14ac:dyDescent="0.3">
      <c r="A37" s="1"/>
      <c r="B37" s="11">
        <f>ROW(B37) - ROW($B$2)</f>
        <v>35</v>
      </c>
      <c r="C37" s="12" t="s">
        <v>16</v>
      </c>
      <c r="D37" s="7" t="s">
        <v>58</v>
      </c>
      <c r="E37" s="8" t="s">
        <v>114</v>
      </c>
      <c r="F37" s="7" t="s">
        <v>152</v>
      </c>
      <c r="G37" s="8" t="s">
        <v>196</v>
      </c>
      <c r="H37" s="7" t="s">
        <v>233</v>
      </c>
      <c r="I37" s="8" t="s">
        <v>256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16</v>
      </c>
      <c r="D38" s="9" t="s">
        <v>59</v>
      </c>
      <c r="E38" s="10" t="s">
        <v>115</v>
      </c>
      <c r="F38" s="9" t="s">
        <v>152</v>
      </c>
      <c r="G38" s="10" t="s">
        <v>197</v>
      </c>
      <c r="H38" s="9" t="s">
        <v>234</v>
      </c>
      <c r="I38" s="10" t="s">
        <v>252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3" t="s">
        <v>16</v>
      </c>
      <c r="D39" s="7" t="s">
        <v>60</v>
      </c>
      <c r="E39" s="8" t="s">
        <v>116</v>
      </c>
      <c r="F39" s="7" t="s">
        <v>153</v>
      </c>
      <c r="G39" s="8" t="s">
        <v>198</v>
      </c>
      <c r="H39" s="7" t="s">
        <v>216</v>
      </c>
      <c r="I39" s="8" t="s">
        <v>257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16</v>
      </c>
      <c r="D40" s="9" t="s">
        <v>61</v>
      </c>
      <c r="E40" s="10" t="s">
        <v>117</v>
      </c>
      <c r="F40" s="9" t="s">
        <v>153</v>
      </c>
      <c r="G40" s="10" t="s">
        <v>199</v>
      </c>
      <c r="H40" s="9" t="s">
        <v>216</v>
      </c>
      <c r="I40" s="10" t="s">
        <v>258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16</v>
      </c>
      <c r="D41" s="7" t="s">
        <v>62</v>
      </c>
      <c r="E41" s="8" t="s">
        <v>118</v>
      </c>
      <c r="F41" s="7" t="s">
        <v>153</v>
      </c>
      <c r="G41" s="8" t="s">
        <v>200</v>
      </c>
      <c r="H41" s="7" t="s">
        <v>216</v>
      </c>
      <c r="I41" s="8" t="s">
        <v>259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16</v>
      </c>
      <c r="D42" s="9" t="s">
        <v>63</v>
      </c>
      <c r="E42" s="10" t="s">
        <v>119</v>
      </c>
      <c r="F42" s="9" t="s">
        <v>153</v>
      </c>
      <c r="G42" s="10" t="s">
        <v>201</v>
      </c>
      <c r="H42" s="9" t="s">
        <v>216</v>
      </c>
      <c r="I42" s="10" t="s">
        <v>260</v>
      </c>
      <c r="J42" s="9">
        <v>3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16</v>
      </c>
      <c r="D43" s="7" t="s">
        <v>64</v>
      </c>
      <c r="E43" s="8" t="s">
        <v>120</v>
      </c>
      <c r="F43" s="7" t="s">
        <v>155</v>
      </c>
      <c r="G43" s="8" t="s">
        <v>202</v>
      </c>
      <c r="H43" s="7" t="s">
        <v>216</v>
      </c>
      <c r="I43" s="8" t="s">
        <v>261</v>
      </c>
      <c r="J43" s="7">
        <v>1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16</v>
      </c>
      <c r="D44" s="9" t="s">
        <v>65</v>
      </c>
      <c r="E44" s="10" t="s">
        <v>121</v>
      </c>
      <c r="F44" s="9" t="s">
        <v>153</v>
      </c>
      <c r="G44" s="10" t="s">
        <v>203</v>
      </c>
      <c r="H44" s="9" t="s">
        <v>216</v>
      </c>
      <c r="I44" s="10" t="s">
        <v>252</v>
      </c>
      <c r="J44" s="9">
        <v>2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16</v>
      </c>
      <c r="D45" s="7" t="s">
        <v>66</v>
      </c>
      <c r="E45" s="8" t="s">
        <v>122</v>
      </c>
      <c r="F45" s="7" t="s">
        <v>153</v>
      </c>
      <c r="G45" s="8" t="s">
        <v>204</v>
      </c>
      <c r="H45" s="7" t="s">
        <v>216</v>
      </c>
      <c r="I45" s="8" t="s">
        <v>262</v>
      </c>
      <c r="J45" s="7">
        <v>2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16</v>
      </c>
      <c r="D46" s="9" t="s">
        <v>67</v>
      </c>
      <c r="E46" s="10" t="s">
        <v>123</v>
      </c>
      <c r="F46" s="9" t="s">
        <v>153</v>
      </c>
      <c r="G46" s="10" t="s">
        <v>205</v>
      </c>
      <c r="H46" s="9" t="s">
        <v>216</v>
      </c>
      <c r="I46" s="10" t="s">
        <v>263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3" t="s">
        <v>16</v>
      </c>
      <c r="D47" s="7" t="s">
        <v>68</v>
      </c>
      <c r="E47" s="8" t="s">
        <v>124</v>
      </c>
      <c r="F47" s="7" t="s">
        <v>153</v>
      </c>
      <c r="G47" s="8" t="s">
        <v>206</v>
      </c>
      <c r="H47" s="7" t="s">
        <v>216</v>
      </c>
      <c r="I47" s="8" t="s">
        <v>255</v>
      </c>
      <c r="J47" s="7">
        <v>3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16</v>
      </c>
      <c r="D48" s="9" t="s">
        <v>69</v>
      </c>
      <c r="E48" s="10" t="s">
        <v>125</v>
      </c>
      <c r="F48" s="9" t="s">
        <v>153</v>
      </c>
      <c r="G48" s="10" t="s">
        <v>207</v>
      </c>
      <c r="H48" s="9" t="s">
        <v>216</v>
      </c>
      <c r="I48" s="10" t="s">
        <v>264</v>
      </c>
      <c r="J48" s="9">
        <v>1</v>
      </c>
      <c r="K48" s="9"/>
    </row>
    <row r="49" spans="1:11" ht="26.25" thickBot="1" x14ac:dyDescent="0.3">
      <c r="A49" s="1"/>
      <c r="B49" s="11">
        <f>ROW(B49) - ROW($B$2)</f>
        <v>47</v>
      </c>
      <c r="C49" s="12" t="s">
        <v>17</v>
      </c>
      <c r="D49" s="16" t="s">
        <v>70</v>
      </c>
      <c r="E49" s="17" t="s">
        <v>108</v>
      </c>
      <c r="F49" s="16" t="s">
        <v>153</v>
      </c>
      <c r="G49" s="17" t="s">
        <v>190</v>
      </c>
      <c r="H49" s="16" t="s">
        <v>216</v>
      </c>
      <c r="I49" s="17" t="s">
        <v>253</v>
      </c>
      <c r="J49" s="16">
        <v>1</v>
      </c>
      <c r="K49" s="18" t="s">
        <v>274</v>
      </c>
    </row>
    <row r="50" spans="1:11" ht="36.75" thickBot="1" x14ac:dyDescent="0.3">
      <c r="A50" s="1"/>
      <c r="B50" s="11">
        <f t="shared" si="0"/>
        <v>48</v>
      </c>
      <c r="C50" s="13" t="s">
        <v>18</v>
      </c>
      <c r="D50" s="9" t="s">
        <v>71</v>
      </c>
      <c r="E50" s="10" t="s">
        <v>126</v>
      </c>
      <c r="F50" s="9" t="s">
        <v>269</v>
      </c>
      <c r="G50" s="10" t="s">
        <v>156</v>
      </c>
      <c r="H50" s="9" t="s">
        <v>235</v>
      </c>
      <c r="I50" s="10" t="s">
        <v>269</v>
      </c>
      <c r="J50" s="9">
        <v>2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19</v>
      </c>
      <c r="D51" s="7" t="s">
        <v>72</v>
      </c>
      <c r="E51" s="8" t="s">
        <v>127</v>
      </c>
      <c r="F51" s="9" t="s">
        <v>269</v>
      </c>
      <c r="G51" s="8" t="s">
        <v>157</v>
      </c>
      <c r="H51" s="7" t="s">
        <v>236</v>
      </c>
      <c r="I51" s="10" t="s">
        <v>269</v>
      </c>
      <c r="J51" s="7">
        <v>1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20</v>
      </c>
      <c r="D52" s="9" t="s">
        <v>73</v>
      </c>
      <c r="E52" s="10" t="s">
        <v>128</v>
      </c>
      <c r="F52" s="9" t="s">
        <v>269</v>
      </c>
      <c r="G52" s="10" t="s">
        <v>158</v>
      </c>
      <c r="H52" s="9" t="s">
        <v>237</v>
      </c>
      <c r="I52" s="10" t="s">
        <v>269</v>
      </c>
      <c r="J52" s="9">
        <v>1</v>
      </c>
      <c r="K52" s="9"/>
    </row>
    <row r="53" spans="1:11" ht="24.75" thickBot="1" x14ac:dyDescent="0.3">
      <c r="A53" s="1"/>
      <c r="B53" s="11">
        <f>ROW(B53) - ROW($B$2)</f>
        <v>51</v>
      </c>
      <c r="C53" s="12" t="s">
        <v>21</v>
      </c>
      <c r="D53" s="7" t="s">
        <v>74</v>
      </c>
      <c r="E53" s="8" t="s">
        <v>129</v>
      </c>
      <c r="F53" s="7" t="s">
        <v>159</v>
      </c>
      <c r="G53" s="8" t="s">
        <v>208</v>
      </c>
      <c r="H53" s="7" t="s">
        <v>238</v>
      </c>
      <c r="I53" s="10" t="s">
        <v>269</v>
      </c>
      <c r="J53" s="7">
        <v>1</v>
      </c>
      <c r="K53" s="7"/>
    </row>
    <row r="54" spans="1:11" ht="24.75" thickBot="1" x14ac:dyDescent="0.3">
      <c r="A54" s="1"/>
      <c r="B54" s="11">
        <f t="shared" si="0"/>
        <v>52</v>
      </c>
      <c r="C54" s="13" t="s">
        <v>21</v>
      </c>
      <c r="D54" s="9" t="s">
        <v>75</v>
      </c>
      <c r="E54" s="10" t="s">
        <v>130</v>
      </c>
      <c r="F54" s="9" t="s">
        <v>160</v>
      </c>
      <c r="G54" s="10" t="s">
        <v>209</v>
      </c>
      <c r="H54" s="9" t="s">
        <v>239</v>
      </c>
      <c r="I54" s="10" t="s">
        <v>269</v>
      </c>
      <c r="J54" s="9">
        <v>1</v>
      </c>
      <c r="K54" s="9"/>
    </row>
    <row r="55" spans="1:11" ht="24.75" thickBot="1" x14ac:dyDescent="0.3">
      <c r="A55" s="1"/>
      <c r="B55" s="11">
        <f>ROW(B55) - ROW($B$2)</f>
        <v>53</v>
      </c>
      <c r="C55" s="12" t="s">
        <v>21</v>
      </c>
      <c r="D55" s="7" t="s">
        <v>76</v>
      </c>
      <c r="E55" s="8" t="s">
        <v>131</v>
      </c>
      <c r="F55" s="7" t="s">
        <v>161</v>
      </c>
      <c r="G55" s="8" t="s">
        <v>210</v>
      </c>
      <c r="H55" s="7" t="s">
        <v>240</v>
      </c>
      <c r="I55" s="10" t="s">
        <v>269</v>
      </c>
      <c r="J55" s="7">
        <v>1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21</v>
      </c>
      <c r="D56" s="9" t="s">
        <v>77</v>
      </c>
      <c r="E56" s="10" t="s">
        <v>132</v>
      </c>
      <c r="F56" s="9" t="s">
        <v>162</v>
      </c>
      <c r="G56" s="10" t="s">
        <v>211</v>
      </c>
      <c r="H56" s="9" t="s">
        <v>240</v>
      </c>
      <c r="I56" s="10" t="s">
        <v>269</v>
      </c>
      <c r="J56" s="9">
        <v>1</v>
      </c>
      <c r="K56" s="9"/>
    </row>
    <row r="57" spans="1:11" ht="24.75" thickBot="1" x14ac:dyDescent="0.3">
      <c r="A57" s="1"/>
      <c r="B57" s="11">
        <f>ROW(B57) - ROW($B$2)</f>
        <v>55</v>
      </c>
      <c r="C57" s="12" t="s">
        <v>21</v>
      </c>
      <c r="D57" s="7" t="s">
        <v>78</v>
      </c>
      <c r="E57" s="8" t="s">
        <v>133</v>
      </c>
      <c r="F57" s="7" t="s">
        <v>163</v>
      </c>
      <c r="G57" s="8" t="s">
        <v>212</v>
      </c>
      <c r="H57" s="7" t="s">
        <v>222</v>
      </c>
      <c r="I57" s="10" t="s">
        <v>269</v>
      </c>
      <c r="J57" s="7">
        <v>1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22</v>
      </c>
      <c r="D58" s="9" t="s">
        <v>79</v>
      </c>
      <c r="E58" s="10" t="s">
        <v>134</v>
      </c>
      <c r="F58" s="9" t="s">
        <v>164</v>
      </c>
      <c r="G58" s="10" t="s">
        <v>213</v>
      </c>
      <c r="H58" s="9" t="s">
        <v>241</v>
      </c>
      <c r="I58" s="10" t="s">
        <v>269</v>
      </c>
      <c r="J58" s="9">
        <v>1</v>
      </c>
      <c r="K58" s="9"/>
    </row>
    <row r="59" spans="1:11" ht="48.75" thickBot="1" x14ac:dyDescent="0.3">
      <c r="B59" s="11">
        <f t="shared" si="0"/>
        <v>57</v>
      </c>
      <c r="C59" s="13" t="s">
        <v>267</v>
      </c>
      <c r="D59" s="9" t="s">
        <v>269</v>
      </c>
      <c r="E59" s="10" t="s">
        <v>268</v>
      </c>
      <c r="F59" s="9" t="s">
        <v>269</v>
      </c>
      <c r="G59" s="10" t="s">
        <v>267</v>
      </c>
      <c r="H59" s="9" t="s">
        <v>269</v>
      </c>
      <c r="I59" s="10" t="s">
        <v>269</v>
      </c>
      <c r="J59" s="9">
        <v>1</v>
      </c>
      <c r="K59" s="15" t="s">
        <v>270</v>
      </c>
    </row>
    <row r="60" spans="1:11" ht="48.75" thickBot="1" x14ac:dyDescent="0.3">
      <c r="B60" s="11">
        <f t="shared" si="0"/>
        <v>58</v>
      </c>
      <c r="C60" s="13" t="s">
        <v>266</v>
      </c>
      <c r="D60" s="9" t="s">
        <v>269</v>
      </c>
      <c r="E60" s="10" t="s">
        <v>271</v>
      </c>
      <c r="F60" s="9" t="s">
        <v>269</v>
      </c>
      <c r="G60" s="10" t="s">
        <v>266</v>
      </c>
      <c r="H60" s="9" t="s">
        <v>269</v>
      </c>
      <c r="I60" s="10" t="s">
        <v>269</v>
      </c>
      <c r="J60" s="9">
        <v>1</v>
      </c>
      <c r="K60" s="15" t="s">
        <v>266</v>
      </c>
    </row>
  </sheetData>
  <mergeCells count="1">
    <mergeCell ref="I1:K1"/>
  </mergeCells>
  <hyperlinks>
    <hyperlink ref="K59" r:id="rId1" location="nav-specification"/>
    <hyperlink ref="K60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2025-01-13T12:31:31Z</dcterms:modified>
</cp:coreProperties>
</file>