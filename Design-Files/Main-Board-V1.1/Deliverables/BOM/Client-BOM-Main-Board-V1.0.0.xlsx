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dominikschmidt-meditationdevice\Design-Files\Main-Board-V1.1\Deliverables\BOM\"/>
    </mc:Choice>
  </mc:AlternateContent>
  <xr:revisionPtr revIDLastSave="0" documentId="13_ncr:1_{A7CAAB88-F298-4D79-86F0-151F4B92DED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1" i="1" l="1"/>
  <c r="B80" i="1"/>
  <c r="B79" i="1" l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1" i="1"/>
  <c r="B40" i="1"/>
  <c r="B39" i="1"/>
  <c r="B38" i="1"/>
  <c r="B37" i="1"/>
  <c r="B36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<sst xmlns="http://schemas.openxmlformats.org/spreadsheetml/2006/main" count="571" uniqueCount="354">
  <si>
    <t>#</t>
  </si>
  <si>
    <t>Item Type</t>
  </si>
  <si>
    <t>Capacitor</t>
  </si>
  <si>
    <t>TVS Diode</t>
  </si>
  <si>
    <t>Schottky Diode</t>
  </si>
  <si>
    <t>Protection Device</t>
  </si>
  <si>
    <t>Diode</t>
  </si>
  <si>
    <t>Fuse</t>
  </si>
  <si>
    <t>Connector</t>
  </si>
  <si>
    <t>Right Angle JST</t>
  </si>
  <si>
    <t>SD Card Connector</t>
  </si>
  <si>
    <t>Inductor</t>
  </si>
  <si>
    <t>LED</t>
  </si>
  <si>
    <t>Mosfet</t>
  </si>
  <si>
    <t>Resistor</t>
  </si>
  <si>
    <t>Tactile Switch</t>
  </si>
  <si>
    <t>Switch</t>
  </si>
  <si>
    <t>Rotary Encoders</t>
  </si>
  <si>
    <t>IC</t>
  </si>
  <si>
    <t>Module</t>
  </si>
  <si>
    <t>Crystal</t>
  </si>
  <si>
    <t>Designator</t>
  </si>
  <si>
    <t>C1, C11, C12</t>
  </si>
  <si>
    <t>C2, C13, C14, C15, C18, C24, C25</t>
  </si>
  <si>
    <t>C3, C5</t>
  </si>
  <si>
    <t>C4</t>
  </si>
  <si>
    <t>C8, C16, C17</t>
  </si>
  <si>
    <t>C9</t>
  </si>
  <si>
    <t>C10</t>
  </si>
  <si>
    <t>C19, C33, C41, C44, C49, C50, C51, C53</t>
  </si>
  <si>
    <t>C20, C29, C31, C32, C34, C39, C40, C46, C47, C48, C52</t>
  </si>
  <si>
    <t>C21, C37, C38</t>
  </si>
  <si>
    <t>C22, C23</t>
  </si>
  <si>
    <t>C30</t>
  </si>
  <si>
    <t>C35</t>
  </si>
  <si>
    <t>C42, C43</t>
  </si>
  <si>
    <t>C45</t>
  </si>
  <si>
    <t>D1, D2, D3, D4</t>
  </si>
  <si>
    <t>D5</t>
  </si>
  <si>
    <t>D6, D7, D8, D9, D10, D11</t>
  </si>
  <si>
    <t>D12</t>
  </si>
  <si>
    <t>D13</t>
  </si>
  <si>
    <t>F1</t>
  </si>
  <si>
    <t>J1</t>
  </si>
  <si>
    <t>J2</t>
  </si>
  <si>
    <t>J3, J4</t>
  </si>
  <si>
    <t>J5</t>
  </si>
  <si>
    <t>J6</t>
  </si>
  <si>
    <t>L1</t>
  </si>
  <si>
    <t>L2</t>
  </si>
  <si>
    <t>L3</t>
  </si>
  <si>
    <t>LED1</t>
  </si>
  <si>
    <t>Q1</t>
  </si>
  <si>
    <t>Q2, Q3</t>
  </si>
  <si>
    <t>Q4, Q5, Q6</t>
  </si>
  <si>
    <t>R1, R3</t>
  </si>
  <si>
    <t>R2, R28, R29, R38, R63, R68</t>
  </si>
  <si>
    <t>R5, R15, R26, R30, R33</t>
  </si>
  <si>
    <t>R6</t>
  </si>
  <si>
    <t>R7, R16, R31</t>
  </si>
  <si>
    <t>R8</t>
  </si>
  <si>
    <t>R9, R11, R17, R21, R22, R32, R35, R36, R42, R43, R44, R45, R50, R51, R52, R53, R60, R61</t>
  </si>
  <si>
    <t>R10</t>
  </si>
  <si>
    <t>R12</t>
  </si>
  <si>
    <t>R13</t>
  </si>
  <si>
    <t>R14, R34, R47, R48, R49, R54, R56, R57, R58, R59</t>
  </si>
  <si>
    <t>R18</t>
  </si>
  <si>
    <t>R23, R24</t>
  </si>
  <si>
    <t>R25, R27</t>
  </si>
  <si>
    <t>R40</t>
  </si>
  <si>
    <t>R46</t>
  </si>
  <si>
    <t>R55</t>
  </si>
  <si>
    <t>R64</t>
  </si>
  <si>
    <t>R65</t>
  </si>
  <si>
    <t>R66</t>
  </si>
  <si>
    <t>R67</t>
  </si>
  <si>
    <t>SW1, SW2</t>
  </si>
  <si>
    <t>SW3, SW5, SW6</t>
  </si>
  <si>
    <t>SW4</t>
  </si>
  <si>
    <t>U1</t>
  </si>
  <si>
    <t>U2</t>
  </si>
  <si>
    <t>U3</t>
  </si>
  <si>
    <t>U4</t>
  </si>
  <si>
    <t>U5</t>
  </si>
  <si>
    <t>U6</t>
  </si>
  <si>
    <t>U8</t>
  </si>
  <si>
    <t>U9</t>
  </si>
  <si>
    <t>U10</t>
  </si>
  <si>
    <t>U11</t>
  </si>
  <si>
    <t>U12</t>
  </si>
  <si>
    <t>X1</t>
  </si>
  <si>
    <t>Description</t>
  </si>
  <si>
    <t>CAP CER 10UF 10V X7R 0603</t>
  </si>
  <si>
    <t>CAP CER 0.1UF 16V X7R 0402</t>
  </si>
  <si>
    <t>CAP CER 10UF 10V X5R 0402</t>
  </si>
  <si>
    <t>CAP CER 47UF 6.3V X5R 0805</t>
  </si>
  <si>
    <t>CAP CER 1UF 25V X7R 0603</t>
  </si>
  <si>
    <t>CAP CER 10000PF 50V C0G/NPO 0603</t>
  </si>
  <si>
    <t>CAP CER 22UF 10V X7R 0805</t>
  </si>
  <si>
    <t>CAP CER 1UF 16V X7S 0402</t>
  </si>
  <si>
    <t>CAP CER 0.1UF 25V X5R 0402</t>
  </si>
  <si>
    <t>CAP CER 22UF 10V X5R 0603</t>
  </si>
  <si>
    <t>CAP CER 10000PF 25V X5R 0402</t>
  </si>
  <si>
    <t>CAP TANT 47UF 20% 10V 1206</t>
  </si>
  <si>
    <t>CAP CER 2.7PF 50V C0G/NPO 0201</t>
  </si>
  <si>
    <t>CAP CER 4.7PF 50V C0G/NPO 0201</t>
  </si>
  <si>
    <t>CAP CER 18PF 50V C0G/NPO 0402</t>
  </si>
  <si>
    <t>CAP CER 4.7UF 10V X5R 0402</t>
  </si>
  <si>
    <t>9.2V 6.4V 5V SOD-123FL TVS ROHS</t>
  </si>
  <si>
    <t>40V Single 500mV@3A 3A SMA Schottky Barrier Diodes (SBD) ROHS</t>
  </si>
  <si>
    <t>5V 10V 3.3V Bi-Directional SOD-882 ESD Protection Devices ROHS</t>
  </si>
  <si>
    <t>DIODE ZENER 3.3V 200MW SOD323F</t>
  </si>
  <si>
    <t>6V 2A 50A 1W -40℃~+85℃ 4A 4mΩ 5s 45mΩ 0805 Resettable Fuses ROHS</t>
  </si>
  <si>
    <t>Receptacle USB - Type C 6 - USB Connectors ROHS</t>
  </si>
  <si>
    <t>1x2P 1 2mm Male pin 2 -25℃~+85℃ 2A Surface Mount SMD,P=2mm Wire To Board / Wire To Wire Connector ROHS</t>
  </si>
  <si>
    <t>1x6P SH 1 1mm 6 SMD,P=1mm Wire To Board / Wire To Wire Connector ROHS</t>
  </si>
  <si>
    <t>CONN MICRO SD CARD PUSH-PUSH R/A</t>
  </si>
  <si>
    <t>CONN FFC BOTTOM 40POS 0.50MM R/A</t>
  </si>
  <si>
    <t>4A 2.2uH ±20% 32mΩ SMD,5.4x5.2x2mm Power Inductors ROHS</t>
  </si>
  <si>
    <t>FIXED IND 1.6NH 1A 50 MOHM SMD</t>
  </si>
  <si>
    <t>4.5A 1uH ±20% 70mΩ 5.5A SMD,4.2x4.4x1.2mm Power Inductors ROHS</t>
  </si>
  <si>
    <t>LED GREEN CLEAR CHIP SMD</t>
  </si>
  <si>
    <t>LED RED CLEAR CHIP SMD</t>
  </si>
  <si>
    <t>30V 4.1A 60mΩ@10V,4.1A 350mW 3V@250uA P Channel SOT-23 MOSFETs ROHS</t>
  </si>
  <si>
    <t>30V 5.8A 32mΩ@10V,5.8A 1.4W 1.4V@250uA N Channel SOT-23 MOSFETs ROHS</t>
  </si>
  <si>
    <t>100V 200mA 300mW 1.06Ω@10V,200mA 3V@250uA N Channel SOT-23 MOSFETs ROHS</t>
  </si>
  <si>
    <t>RES 5.1K OHM 1% 1/10W 0603</t>
  </si>
  <si>
    <t>RES 0 OHM JUMPER 1/16W 0402</t>
  </si>
  <si>
    <t>RES 1K OHM 5% 1/16W 0402</t>
  </si>
  <si>
    <t>RES 0 OHM JUMPER 1/10W 0603</t>
  </si>
  <si>
    <t>RES 1K OHM 1% 1/8W 0805</t>
  </si>
  <si>
    <t>100mW Thick Film Resistors 75V ±100ppm/℃ ±1% 953Ω 0603 Chip Resistor - Surface Mount ROHS</t>
  </si>
  <si>
    <t>RES 10K OHM 1% 1/16W 0402</t>
  </si>
  <si>
    <t>100mW Thick Film Resistors 75V ±100ppm/℃ ±1% 15Ω 0603 Chip Resistor - Surface Mount ROHS</t>
  </si>
  <si>
    <t>RES SMD 1K OHM 1% 1/10W 0603</t>
  </si>
  <si>
    <t>RES 1.5K OHM 1% 1/16W 0402</t>
  </si>
  <si>
    <t>RES 4.7K OHM 1% 1/16W 0402</t>
  </si>
  <si>
    <t>RES 47K OHM 1% 1/16W 0402</t>
  </si>
  <si>
    <t>RES 100K OHM 1% 1/16W 0402</t>
  </si>
  <si>
    <t>RES 1K OHM 1% 1/16W 0402</t>
  </si>
  <si>
    <t>RES 100 OHM 1% 1/16W 0402</t>
  </si>
  <si>
    <t>RES 200K OHM 1% 1/16W 0402</t>
  </si>
  <si>
    <t>RES 499 OHM 1% 1/16W 0402</t>
  </si>
  <si>
    <t>RES 562K OHM 1% 1/16W 0402</t>
  </si>
  <si>
    <t>RES 147K OHM 1% 1/16W 0402</t>
  </si>
  <si>
    <t>RES 180K OHM 0.1% 1/16W 0402</t>
  </si>
  <si>
    <t>RES 95.3K OHM 1% 1/16W 0402</t>
  </si>
  <si>
    <t>50mA 100MΩ 100000 Times 260gf@±50gf 12V Surface Mount SPST SMD Tactile Switches ROHS</t>
  </si>
  <si>
    <t>None Without bracket 50mA 3.05mm 100000 Times 12V 160gf 2.5mm 1.5mm Round Button Standing paste SPST SMD Tactile Switches ROHS</t>
  </si>
  <si>
    <t>SMD Rotary Encoders ROHS</t>
  </si>
  <si>
    <t>IC REG BCK BST ADJ 2A/4A 14VQFN</t>
  </si>
  <si>
    <t>4V~6V Polymer 1 3.5A SOP-8-EP Battery Management ICs ROHS</t>
  </si>
  <si>
    <t>5.5V 1.5A 90mΩ Controlled Rise Time Self-Protecting Load Switch</t>
  </si>
  <si>
    <t>IC SUPERVISOR 2 CHANNEL 6SON</t>
  </si>
  <si>
    <t>IC FF D-TYPE SNGL 1BIT US8</t>
  </si>
  <si>
    <t>RF TXRX MODULE BT PCB TRACE SMD</t>
  </si>
  <si>
    <t>IC TOUCH SENSOR 7KEY 20VQFN</t>
  </si>
  <si>
    <t>SMD IC ESP32-S3R8, DUAL-CORE MCU</t>
  </si>
  <si>
    <t>4-Channel 1-wire Dimming LED Driver with Ultra Low Dropout Current Source</t>
  </si>
  <si>
    <t>IC FLASH 128MBIT SPI/QUAD 8SOIC</t>
  </si>
  <si>
    <t>16-bit I²C-bus and SMBus I/O port Expander With Interrupt Output and Configuration Registers</t>
  </si>
  <si>
    <t>40MHz SMD Crystal Resonator 15pF SMD3225-4P Crystals ROHS</t>
  </si>
  <si>
    <t>Footprint</t>
  </si>
  <si>
    <t>Cap-0603</t>
  </si>
  <si>
    <t>Cap-0402</t>
  </si>
  <si>
    <t>Cap-0805</t>
  </si>
  <si>
    <t>Tant-1206</t>
  </si>
  <si>
    <t>CAP-0201</t>
  </si>
  <si>
    <t>SOD-123 (Bi-Directional)</t>
  </si>
  <si>
    <t>SMA</t>
  </si>
  <si>
    <t>SOD-882 Bi Directional</t>
  </si>
  <si>
    <t>SOD323F</t>
  </si>
  <si>
    <t>SOD-123</t>
  </si>
  <si>
    <t>Fuse-0805</t>
  </si>
  <si>
    <t>WAFER-PH2.0-2PWB</t>
  </si>
  <si>
    <t>DM3BT-DSF-PEJS</t>
  </si>
  <si>
    <t>FH12-40S-0.5SH(55)</t>
  </si>
  <si>
    <t>IND-0201</t>
  </si>
  <si>
    <t>LED-0402</t>
  </si>
  <si>
    <t>SOT-23</t>
  </si>
  <si>
    <t>sot-23</t>
  </si>
  <si>
    <t>Res-0603</t>
  </si>
  <si>
    <t>Res-0402</t>
  </si>
  <si>
    <t>RES-0805</t>
  </si>
  <si>
    <t>TP12422673</t>
  </si>
  <si>
    <t>GT-TC032A-H015-L1</t>
  </si>
  <si>
    <t>EC05E1220401</t>
  </si>
  <si>
    <t>14-VQFN-HR (3x2.5)</t>
  </si>
  <si>
    <t>8-SO-EP_</t>
  </si>
  <si>
    <t>SC-70-6</t>
  </si>
  <si>
    <t>6-SON (1.45x1)</t>
  </si>
  <si>
    <t>VFSOP-8-2.3mm</t>
  </si>
  <si>
    <t>38-SMD Module</t>
  </si>
  <si>
    <t>20-VQFN (3x3)</t>
  </si>
  <si>
    <t>56-QFN (7x7)</t>
  </si>
  <si>
    <t>DFN-8-EP(2x2)</t>
  </si>
  <si>
    <t>SOIC-8 (208 mil)</t>
  </si>
  <si>
    <t>QFN-24(4x4)</t>
  </si>
  <si>
    <t>Manufacturer Part Number</t>
  </si>
  <si>
    <t>GRM188Z71A106KA73D</t>
  </si>
  <si>
    <t>CC0402JRX7R7BB104</t>
  </si>
  <si>
    <t>CC0402MRX5R6BB106</t>
  </si>
  <si>
    <t>CC0805MKX5R5BB476</t>
  </si>
  <si>
    <t>C1608X7R1E105K080AB</t>
  </si>
  <si>
    <t>CC0603JRNPO9BN103</t>
  </si>
  <si>
    <t>GRM21BZ71A226ME15L</t>
  </si>
  <si>
    <t>GRM155C71C105KE11D</t>
  </si>
  <si>
    <t>CC0402KRX5R8BB104</t>
  </si>
  <si>
    <t>CC0603MRX5R6BB226</t>
  </si>
  <si>
    <t>CC0402KRX5R8BB103</t>
  </si>
  <si>
    <t>TMCMA1A476MTRF</t>
  </si>
  <si>
    <t>CC0201CRNPO9BN2R7</t>
  </si>
  <si>
    <t>CC0201BRNPO9BN4R7</t>
  </si>
  <si>
    <t>CC0402JRNPO9BN180</t>
  </si>
  <si>
    <t>CC0402KRX5R6BB475</t>
  </si>
  <si>
    <t>SMF5.0CA</t>
  </si>
  <si>
    <t>SM340A</t>
  </si>
  <si>
    <t>LESD8D3.3CAT5G</t>
  </si>
  <si>
    <t>MM3Z3V3B</t>
  </si>
  <si>
    <t>BSMD0805L-200</t>
  </si>
  <si>
    <t>Type-C-31-M-17</t>
  </si>
  <si>
    <t>C145963</t>
  </si>
  <si>
    <t>YSPI0520-2R2M</t>
  </si>
  <si>
    <t>LQP03HQ1N6B02D</t>
  </si>
  <si>
    <t>PSPMAA0412-1R0M-ANP</t>
  </si>
  <si>
    <t>AO3407</t>
  </si>
  <si>
    <t>AO3400A</t>
  </si>
  <si>
    <t>BSS123</t>
  </si>
  <si>
    <t>RC0603FR-075K1L</t>
  </si>
  <si>
    <t>RC0402FR-070RL</t>
  </si>
  <si>
    <t>RC0402JR-071KL</t>
  </si>
  <si>
    <t>RC0603JR-070RL</t>
  </si>
  <si>
    <t>RC0805FR-071KL</t>
  </si>
  <si>
    <t>FRC0603F9530TS</t>
  </si>
  <si>
    <t>RC0402FR-0710KL</t>
  </si>
  <si>
    <t>FRC0603F15R0TS</t>
  </si>
  <si>
    <t>CRCW06031K00FKEA</t>
  </si>
  <si>
    <t>RC0402FR-071K5L</t>
  </si>
  <si>
    <t>RC0402FR-074K7L</t>
  </si>
  <si>
    <t>RC0402FR-0747KL</t>
  </si>
  <si>
    <t>RC0402FR-07100KL</t>
  </si>
  <si>
    <t>RC0402FR-071KL</t>
  </si>
  <si>
    <t>RC0402FR-07100RL</t>
  </si>
  <si>
    <t>RC0402FR-07200KL</t>
  </si>
  <si>
    <t>RC0402FR-07499RL</t>
  </si>
  <si>
    <t>RC0402FR-07562KL</t>
  </si>
  <si>
    <t>RC0402FR-07147KL</t>
  </si>
  <si>
    <t>RT0402BRD07180KL</t>
  </si>
  <si>
    <t>RC0402FR-0795K3L</t>
  </si>
  <si>
    <t>TPS630250RNCR</t>
  </si>
  <si>
    <t>SLM6600</t>
  </si>
  <si>
    <t>TPS22919DCKR</t>
  </si>
  <si>
    <t>TPS3421EGDRYR</t>
  </si>
  <si>
    <t>NC7SZ74K8X</t>
  </si>
  <si>
    <t>ESP32-WROOM-32E-N8R2</t>
  </si>
  <si>
    <t>AT42QT1070-MMHR</t>
  </si>
  <si>
    <t>ESP32-S3R8</t>
  </si>
  <si>
    <t>AW9364DNR</t>
  </si>
  <si>
    <t>W25Q128JVSIQ</t>
  </si>
  <si>
    <t>XL9535QF24</t>
  </si>
  <si>
    <t>X322540MPB4SI</t>
  </si>
  <si>
    <t>Manufacturer</t>
  </si>
  <si>
    <t>Murata</t>
  </si>
  <si>
    <t>Yageo</t>
  </si>
  <si>
    <t>TDK</t>
  </si>
  <si>
    <t>Vishay Sprague</t>
  </si>
  <si>
    <t>GOODWORK</t>
  </si>
  <si>
    <t>LRC</t>
  </si>
  <si>
    <t>ON Semiconductor / Fairchild</t>
  </si>
  <si>
    <t>Diodes</t>
  </si>
  <si>
    <t>BHFUSE</t>
  </si>
  <si>
    <t>Koren Hroparts Elec</t>
  </si>
  <si>
    <t>XUNPU</t>
  </si>
  <si>
    <t>BOOMELE</t>
  </si>
  <si>
    <t>Hirose</t>
  </si>
  <si>
    <t>YJYCOIN</t>
  </si>
  <si>
    <t>PROD Tech</t>
  </si>
  <si>
    <t>SunLED</t>
  </si>
  <si>
    <t>Guangdong Hottech</t>
  </si>
  <si>
    <t>BORN</t>
  </si>
  <si>
    <t>FOJAN</t>
  </si>
  <si>
    <t>Vishay Dale</t>
  </si>
  <si>
    <t>ROCPU Switch</t>
  </si>
  <si>
    <t>G-Switch</t>
  </si>
  <si>
    <t>ALPSALPINE</t>
  </si>
  <si>
    <t>Texas Instruments</t>
  </si>
  <si>
    <t>SOLA-IC</t>
  </si>
  <si>
    <t>Espressif Systems</t>
  </si>
  <si>
    <t>Microchip</t>
  </si>
  <si>
    <t>AWINIC(Shanghai Awinic Tech)</t>
  </si>
  <si>
    <t>Winbond</t>
  </si>
  <si>
    <t>XINLUDA</t>
  </si>
  <si>
    <t>Yangxing Tech</t>
  </si>
  <si>
    <t>10uF</t>
  </si>
  <si>
    <t>0.1uF</t>
  </si>
  <si>
    <t>47uF</t>
  </si>
  <si>
    <t>1uF</t>
  </si>
  <si>
    <t>10nF</t>
  </si>
  <si>
    <t>22uF</t>
  </si>
  <si>
    <t>100nF</t>
  </si>
  <si>
    <t>0.01uF</t>
  </si>
  <si>
    <t>2.7pF</t>
  </si>
  <si>
    <t>4.7pF</t>
  </si>
  <si>
    <t>18pF</t>
  </si>
  <si>
    <t>4.7uF</t>
  </si>
  <si>
    <t>2.2uH</t>
  </si>
  <si>
    <t>1.6nH</t>
  </si>
  <si>
    <t>1uH</t>
  </si>
  <si>
    <t>5.1K</t>
  </si>
  <si>
    <t>0R</t>
  </si>
  <si>
    <t>1K</t>
  </si>
  <si>
    <t>DNP</t>
  </si>
  <si>
    <t>953R</t>
  </si>
  <si>
    <t>10K</t>
  </si>
  <si>
    <t>15R</t>
  </si>
  <si>
    <t>1.5K</t>
  </si>
  <si>
    <t>4.7K</t>
  </si>
  <si>
    <t>47K</t>
  </si>
  <si>
    <t>100K</t>
  </si>
  <si>
    <t>100R</t>
  </si>
  <si>
    <t>200K</t>
  </si>
  <si>
    <t>499R</t>
  </si>
  <si>
    <t>562K</t>
  </si>
  <si>
    <t>147K</t>
  </si>
  <si>
    <t>180K</t>
  </si>
  <si>
    <t>95.3K</t>
  </si>
  <si>
    <t>40MHz</t>
  </si>
  <si>
    <t>Quantity</t>
  </si>
  <si>
    <t>Value</t>
  </si>
  <si>
    <t>Remarks</t>
  </si>
  <si>
    <t>DO NOT PLACE</t>
  </si>
  <si>
    <t>-</t>
  </si>
  <si>
    <t>Custom</t>
  </si>
  <si>
    <t>LCD</t>
  </si>
  <si>
    <t>Aliexpress</t>
  </si>
  <si>
    <t>Battery</t>
  </si>
  <si>
    <t>3.7V 2000mAh 103450 Battery Lithium Polymer Batteries for POS Machines Bluetooth Speakers Anti-lost Devices Toys Camping Lights</t>
  </si>
  <si>
    <t>LED3, LED4</t>
  </si>
  <si>
    <t>LED2</t>
  </si>
  <si>
    <t>APHHS1005SURCK</t>
  </si>
  <si>
    <t>Kingbright</t>
  </si>
  <si>
    <t>APHHS1005CGCK</t>
  </si>
  <si>
    <t>R4, R69</t>
  </si>
  <si>
    <t>R20, R39</t>
  </si>
  <si>
    <t>R37</t>
  </si>
  <si>
    <t>R19, R41</t>
  </si>
  <si>
    <t>C6, C36</t>
  </si>
  <si>
    <t>R70</t>
  </si>
  <si>
    <t>RES 49.9 OHM 1% 1/10W 0603</t>
  </si>
  <si>
    <t>RC0603FR-0749R9L</t>
  </si>
  <si>
    <t>49.9R</t>
  </si>
  <si>
    <t>IPS 2.1 inch 40PIN TFT LCD Capacitive Round Screen (Long Cable) ST7701S IC 480*480 SPI+RGB Interface HDMI-compatible Board</t>
  </si>
  <si>
    <t>40V 1 Independent 450mV@1A 1A SOD-123 Schottky Diodes ROHS</t>
  </si>
  <si>
    <t>1N5819HW-7-F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</si>
</sst>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780723</xdr:colOff>
      <xdr:row>81</xdr:row>
      <xdr:rowOff>142875</xdr:rowOff>
    </xdr:from>
    <xdr:to>
      <xdr:col>9</xdr:col>
      <xdr:colOff>369846</xdr:colOff>
      <xdr:row>110</xdr:row>
      <xdr:rowOff>27742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9AA0B2-E6A2-DBD9-F99E-63EFC2D3D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873" y="22555200"/>
          <a:ext cx="10571448" cy="5409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32562780346.html" TargetMode="External"/><Relationship Id="rId1" Type="http://schemas.openxmlformats.org/officeDocument/2006/relationships/hyperlink" Target="https://www.aliexpress.us/item/1005008143098425.html?spm=a2g0o.detail.pcDetailTopMoreOtherSeller.7.c89ceBe2eBe2yp&amp;gps-id=pcDetailTopMoreOtherSeller&amp;scm=1007.40196.417130.0&amp;scm_id=1007.40196.417130.0&amp;scm-url=1007.40196.417130.0&amp;pvid=267ca87e-568d-4cf5-8ec2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81"/>
  <sheetViews>
    <sheetView tabSelected="1" topLeftCell="A7" workbookViewId="0">
      <selection activeCell="M23" sqref="M2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0" bestFit="1" customWidth="1"/>
    <col min="7" max="7" width="33.42578125" bestFit="1" customWidth="1"/>
    <col min="8" max="8" width="20.42578125" bestFit="1" customWidth="1"/>
    <col min="9" max="9" width="6.14062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8"/>
      <c r="J1" s="18"/>
      <c r="K1" s="18"/>
    </row>
    <row r="2" spans="1:11" ht="15.75" thickBot="1" x14ac:dyDescent="0.3">
      <c r="A2" s="1"/>
      <c r="B2" s="5" t="s">
        <v>0</v>
      </c>
      <c r="C2" s="5" t="s">
        <v>1</v>
      </c>
      <c r="D2" s="5" t="s">
        <v>21</v>
      </c>
      <c r="E2" s="6" t="s">
        <v>91</v>
      </c>
      <c r="F2" s="5" t="s">
        <v>162</v>
      </c>
      <c r="G2" s="6" t="s">
        <v>198</v>
      </c>
      <c r="H2" s="5" t="s">
        <v>261</v>
      </c>
      <c r="I2" s="6" t="s">
        <v>328</v>
      </c>
      <c r="J2" s="5" t="s">
        <v>327</v>
      </c>
      <c r="K2" s="5" t="s">
        <v>329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22</v>
      </c>
      <c r="E3" s="8" t="s">
        <v>92</v>
      </c>
      <c r="F3" s="7" t="s">
        <v>163</v>
      </c>
      <c r="G3" s="8" t="s">
        <v>199</v>
      </c>
      <c r="H3" s="7" t="s">
        <v>262</v>
      </c>
      <c r="I3" s="8" t="s">
        <v>293</v>
      </c>
      <c r="J3" s="7">
        <v>3</v>
      </c>
      <c r="K3" s="7"/>
    </row>
    <row r="4" spans="1:11" ht="15.75" thickBot="1" x14ac:dyDescent="0.3">
      <c r="A4" s="1"/>
      <c r="B4" s="11">
        <f t="shared" ref="B4:B78" si="0">ROW(B4) - ROW($B$2)</f>
        <v>2</v>
      </c>
      <c r="C4" s="13" t="s">
        <v>2</v>
      </c>
      <c r="D4" s="9" t="s">
        <v>23</v>
      </c>
      <c r="E4" s="10" t="s">
        <v>93</v>
      </c>
      <c r="F4" s="9" t="s">
        <v>164</v>
      </c>
      <c r="G4" s="10" t="s">
        <v>200</v>
      </c>
      <c r="H4" s="9" t="s">
        <v>263</v>
      </c>
      <c r="I4" s="10" t="s">
        <v>294</v>
      </c>
      <c r="J4" s="9">
        <v>7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24</v>
      </c>
      <c r="E5" s="8" t="s">
        <v>94</v>
      </c>
      <c r="F5" s="7" t="s">
        <v>164</v>
      </c>
      <c r="G5" s="8" t="s">
        <v>201</v>
      </c>
      <c r="H5" s="7" t="s">
        <v>263</v>
      </c>
      <c r="I5" s="8" t="s">
        <v>293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25</v>
      </c>
      <c r="E6" s="10" t="s">
        <v>95</v>
      </c>
      <c r="F6" s="9" t="s">
        <v>165</v>
      </c>
      <c r="G6" s="10" t="s">
        <v>202</v>
      </c>
      <c r="H6" s="9" t="s">
        <v>263</v>
      </c>
      <c r="I6" s="10" t="s">
        <v>295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26</v>
      </c>
      <c r="E7" s="8" t="s">
        <v>96</v>
      </c>
      <c r="F7" s="7" t="s">
        <v>163</v>
      </c>
      <c r="G7" s="8" t="s">
        <v>203</v>
      </c>
      <c r="H7" s="7" t="s">
        <v>264</v>
      </c>
      <c r="I7" s="8" t="s">
        <v>296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27</v>
      </c>
      <c r="E8" s="10" t="s">
        <v>97</v>
      </c>
      <c r="F8" s="9" t="s">
        <v>163</v>
      </c>
      <c r="G8" s="10" t="s">
        <v>204</v>
      </c>
      <c r="H8" s="9" t="s">
        <v>263</v>
      </c>
      <c r="I8" s="10" t="s">
        <v>297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28</v>
      </c>
      <c r="E9" s="8" t="s">
        <v>98</v>
      </c>
      <c r="F9" s="7" t="s">
        <v>165</v>
      </c>
      <c r="G9" s="8" t="s">
        <v>205</v>
      </c>
      <c r="H9" s="7" t="s">
        <v>262</v>
      </c>
      <c r="I9" s="8" t="s">
        <v>298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29</v>
      </c>
      <c r="E10" s="10" t="s">
        <v>99</v>
      </c>
      <c r="F10" s="9" t="s">
        <v>164</v>
      </c>
      <c r="G10" s="10" t="s">
        <v>206</v>
      </c>
      <c r="H10" s="9" t="s">
        <v>262</v>
      </c>
      <c r="I10" s="10" t="s">
        <v>296</v>
      </c>
      <c r="J10" s="9">
        <v>8</v>
      </c>
      <c r="K10" s="9"/>
    </row>
    <row r="11" spans="1:11" ht="24.75" thickBot="1" x14ac:dyDescent="0.3">
      <c r="A11" s="1"/>
      <c r="B11" s="11">
        <f>ROW(B11) - ROW($B$2)</f>
        <v>9</v>
      </c>
      <c r="C11" s="13" t="s">
        <v>2</v>
      </c>
      <c r="D11" s="7" t="s">
        <v>30</v>
      </c>
      <c r="E11" s="8" t="s">
        <v>100</v>
      </c>
      <c r="F11" s="7" t="s">
        <v>164</v>
      </c>
      <c r="G11" s="8" t="s">
        <v>207</v>
      </c>
      <c r="H11" s="7" t="s">
        <v>263</v>
      </c>
      <c r="I11" s="8" t="s">
        <v>299</v>
      </c>
      <c r="J11" s="7">
        <v>11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31</v>
      </c>
      <c r="E12" s="10" t="s">
        <v>101</v>
      </c>
      <c r="F12" s="9" t="s">
        <v>163</v>
      </c>
      <c r="G12" s="10" t="s">
        <v>208</v>
      </c>
      <c r="H12" s="9" t="s">
        <v>263</v>
      </c>
      <c r="I12" s="10" t="s">
        <v>298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2</v>
      </c>
      <c r="D13" s="7" t="s">
        <v>32</v>
      </c>
      <c r="E13" s="8" t="s">
        <v>102</v>
      </c>
      <c r="F13" s="7" t="s">
        <v>164</v>
      </c>
      <c r="G13" s="8" t="s">
        <v>209</v>
      </c>
      <c r="H13" s="7" t="s">
        <v>263</v>
      </c>
      <c r="I13" s="8" t="s">
        <v>300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33</v>
      </c>
      <c r="E14" s="10" t="s">
        <v>103</v>
      </c>
      <c r="F14" s="9" t="s">
        <v>166</v>
      </c>
      <c r="G14" s="10" t="s">
        <v>210</v>
      </c>
      <c r="H14" s="9" t="s">
        <v>265</v>
      </c>
      <c r="I14" s="10" t="s">
        <v>295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3" t="s">
        <v>2</v>
      </c>
      <c r="D15" s="7" t="s">
        <v>34</v>
      </c>
      <c r="E15" s="8" t="s">
        <v>104</v>
      </c>
      <c r="F15" s="7" t="s">
        <v>167</v>
      </c>
      <c r="G15" s="8" t="s">
        <v>211</v>
      </c>
      <c r="H15" s="7" t="s">
        <v>263</v>
      </c>
      <c r="I15" s="8" t="s">
        <v>301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346</v>
      </c>
      <c r="E16" s="10" t="s">
        <v>105</v>
      </c>
      <c r="F16" s="9" t="s">
        <v>167</v>
      </c>
      <c r="G16" s="10" t="s">
        <v>212</v>
      </c>
      <c r="H16" s="9" t="s">
        <v>263</v>
      </c>
      <c r="I16" s="10" t="s">
        <v>302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3" t="s">
        <v>2</v>
      </c>
      <c r="D17" s="7" t="s">
        <v>35</v>
      </c>
      <c r="E17" s="8" t="s">
        <v>106</v>
      </c>
      <c r="F17" s="7" t="s">
        <v>164</v>
      </c>
      <c r="G17" s="8" t="s">
        <v>213</v>
      </c>
      <c r="H17" s="7" t="s">
        <v>263</v>
      </c>
      <c r="I17" s="8" t="s">
        <v>303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6</v>
      </c>
      <c r="D18" s="9" t="s">
        <v>36</v>
      </c>
      <c r="E18" s="10" t="s">
        <v>107</v>
      </c>
      <c r="F18" s="9" t="s">
        <v>164</v>
      </c>
      <c r="G18" s="10" t="s">
        <v>214</v>
      </c>
      <c r="H18" s="9" t="s">
        <v>263</v>
      </c>
      <c r="I18" s="10" t="s">
        <v>304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37</v>
      </c>
      <c r="E19" s="8" t="s">
        <v>108</v>
      </c>
      <c r="F19" s="7" t="s">
        <v>168</v>
      </c>
      <c r="G19" s="8" t="s">
        <v>215</v>
      </c>
      <c r="H19" s="7" t="s">
        <v>266</v>
      </c>
      <c r="I19" s="8" t="s">
        <v>331</v>
      </c>
      <c r="J19" s="7">
        <v>4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4</v>
      </c>
      <c r="D20" s="9" t="s">
        <v>38</v>
      </c>
      <c r="E20" s="10" t="s">
        <v>109</v>
      </c>
      <c r="F20" s="9" t="s">
        <v>169</v>
      </c>
      <c r="G20" s="10" t="s">
        <v>216</v>
      </c>
      <c r="H20" s="9" t="s">
        <v>267</v>
      </c>
      <c r="I20" s="8" t="s">
        <v>331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5</v>
      </c>
      <c r="D21" s="7" t="s">
        <v>39</v>
      </c>
      <c r="E21" s="8" t="s">
        <v>110</v>
      </c>
      <c r="F21" s="7" t="s">
        <v>170</v>
      </c>
      <c r="G21" s="8" t="s">
        <v>217</v>
      </c>
      <c r="H21" s="7" t="s">
        <v>267</v>
      </c>
      <c r="I21" s="8" t="s">
        <v>331</v>
      </c>
      <c r="J21" s="7">
        <v>6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6</v>
      </c>
      <c r="D22" s="9" t="s">
        <v>40</v>
      </c>
      <c r="E22" s="10" t="s">
        <v>111</v>
      </c>
      <c r="F22" s="9" t="s">
        <v>171</v>
      </c>
      <c r="G22" s="10" t="s">
        <v>218</v>
      </c>
      <c r="H22" s="9" t="s">
        <v>268</v>
      </c>
      <c r="I22" s="8" t="s">
        <v>331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6</v>
      </c>
      <c r="D23" s="7" t="s">
        <v>41</v>
      </c>
      <c r="E23" s="8" t="s">
        <v>352</v>
      </c>
      <c r="F23" s="7" t="s">
        <v>172</v>
      </c>
      <c r="G23" s="8" t="s">
        <v>353</v>
      </c>
      <c r="H23" s="7" t="s">
        <v>269</v>
      </c>
      <c r="I23" s="8" t="s">
        <v>331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7</v>
      </c>
      <c r="D24" s="9" t="s">
        <v>42</v>
      </c>
      <c r="E24" s="10" t="s">
        <v>112</v>
      </c>
      <c r="F24" s="9" t="s">
        <v>173</v>
      </c>
      <c r="G24" s="10" t="s">
        <v>219</v>
      </c>
      <c r="H24" s="9" t="s">
        <v>270</v>
      </c>
      <c r="I24" s="8" t="s">
        <v>331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8</v>
      </c>
      <c r="D25" s="7" t="s">
        <v>43</v>
      </c>
      <c r="E25" s="8" t="s">
        <v>113</v>
      </c>
      <c r="F25" s="7" t="s">
        <v>332</v>
      </c>
      <c r="G25" s="8" t="s">
        <v>220</v>
      </c>
      <c r="H25" s="7" t="s">
        <v>271</v>
      </c>
      <c r="I25" s="8" t="s">
        <v>331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9</v>
      </c>
      <c r="D26" s="9" t="s">
        <v>44</v>
      </c>
      <c r="E26" s="10" t="s">
        <v>114</v>
      </c>
      <c r="F26" s="7" t="s">
        <v>332</v>
      </c>
      <c r="G26" s="10" t="s">
        <v>174</v>
      </c>
      <c r="H26" s="9" t="s">
        <v>272</v>
      </c>
      <c r="I26" s="8" t="s">
        <v>331</v>
      </c>
      <c r="J26" s="9">
        <v>1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8</v>
      </c>
      <c r="D27" s="7" t="s">
        <v>45</v>
      </c>
      <c r="E27" s="8" t="s">
        <v>115</v>
      </c>
      <c r="F27" s="7" t="s">
        <v>332</v>
      </c>
      <c r="G27" s="8" t="s">
        <v>221</v>
      </c>
      <c r="H27" s="7" t="s">
        <v>273</v>
      </c>
      <c r="I27" s="8" t="s">
        <v>331</v>
      </c>
      <c r="J27" s="7">
        <v>2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10</v>
      </c>
      <c r="D28" s="9" t="s">
        <v>46</v>
      </c>
      <c r="E28" s="10" t="s">
        <v>116</v>
      </c>
      <c r="F28" s="7" t="s">
        <v>332</v>
      </c>
      <c r="G28" s="10" t="s">
        <v>175</v>
      </c>
      <c r="H28" s="9" t="s">
        <v>274</v>
      </c>
      <c r="I28" s="8" t="s">
        <v>331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8</v>
      </c>
      <c r="D29" s="7" t="s">
        <v>47</v>
      </c>
      <c r="E29" s="8" t="s">
        <v>117</v>
      </c>
      <c r="F29" s="7" t="s">
        <v>332</v>
      </c>
      <c r="G29" s="8" t="s">
        <v>176</v>
      </c>
      <c r="H29" s="7" t="s">
        <v>274</v>
      </c>
      <c r="I29" s="8" t="s">
        <v>331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11</v>
      </c>
      <c r="D30" s="9" t="s">
        <v>48</v>
      </c>
      <c r="E30" s="10" t="s">
        <v>118</v>
      </c>
      <c r="F30" s="7" t="s">
        <v>332</v>
      </c>
      <c r="G30" s="10" t="s">
        <v>222</v>
      </c>
      <c r="H30" s="9" t="s">
        <v>275</v>
      </c>
      <c r="I30" s="10" t="s">
        <v>305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11</v>
      </c>
      <c r="D31" s="7" t="s">
        <v>49</v>
      </c>
      <c r="E31" s="8" t="s">
        <v>119</v>
      </c>
      <c r="F31" s="7" t="s">
        <v>177</v>
      </c>
      <c r="G31" s="8" t="s">
        <v>223</v>
      </c>
      <c r="H31" s="7" t="s">
        <v>262</v>
      </c>
      <c r="I31" s="8" t="s">
        <v>306</v>
      </c>
      <c r="J31" s="7">
        <v>1</v>
      </c>
      <c r="K31" s="7"/>
    </row>
    <row r="32" spans="1:11" ht="36.75" thickBot="1" x14ac:dyDescent="0.3">
      <c r="A32" s="1"/>
      <c r="B32" s="11">
        <f t="shared" si="0"/>
        <v>30</v>
      </c>
      <c r="C32" s="12" t="s">
        <v>11</v>
      </c>
      <c r="D32" s="9" t="s">
        <v>50</v>
      </c>
      <c r="E32" s="10" t="s">
        <v>120</v>
      </c>
      <c r="F32" s="7" t="s">
        <v>332</v>
      </c>
      <c r="G32" s="10" t="s">
        <v>224</v>
      </c>
      <c r="H32" s="9" t="s">
        <v>276</v>
      </c>
      <c r="I32" s="10" t="s">
        <v>307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12</v>
      </c>
      <c r="D33" s="7" t="s">
        <v>51</v>
      </c>
      <c r="E33" s="8" t="s">
        <v>121</v>
      </c>
      <c r="F33" s="7" t="s">
        <v>178</v>
      </c>
      <c r="G33" s="8" t="s">
        <v>341</v>
      </c>
      <c r="H33" s="9" t="s">
        <v>340</v>
      </c>
      <c r="I33" s="8" t="s">
        <v>331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12</v>
      </c>
      <c r="D34" s="9" t="s">
        <v>338</v>
      </c>
      <c r="E34" s="10" t="s">
        <v>122</v>
      </c>
      <c r="F34" s="9" t="s">
        <v>178</v>
      </c>
      <c r="G34" s="10" t="s">
        <v>339</v>
      </c>
      <c r="H34" s="9" t="s">
        <v>340</v>
      </c>
      <c r="I34" s="8" t="s">
        <v>331</v>
      </c>
      <c r="J34" s="9">
        <v>1</v>
      </c>
      <c r="K34" s="9"/>
    </row>
    <row r="35" spans="1:11" ht="15.75" thickBot="1" x14ac:dyDescent="0.3">
      <c r="A35" s="1"/>
      <c r="B35" s="11"/>
      <c r="C35" s="13" t="s">
        <v>12</v>
      </c>
      <c r="D35" s="14" t="s">
        <v>337</v>
      </c>
      <c r="E35" s="15" t="s">
        <v>122</v>
      </c>
      <c r="F35" s="14" t="s">
        <v>178</v>
      </c>
      <c r="G35" s="15" t="s">
        <v>339</v>
      </c>
      <c r="H35" s="14" t="s">
        <v>277</v>
      </c>
      <c r="I35" s="15" t="s">
        <v>331</v>
      </c>
      <c r="J35" s="14">
        <v>3</v>
      </c>
      <c r="K35" s="16"/>
    </row>
    <row r="36" spans="1:11" ht="36.75" thickBot="1" x14ac:dyDescent="0.3">
      <c r="A36" s="1"/>
      <c r="B36" s="11">
        <f>ROW(B36) - ROW($B$2)</f>
        <v>34</v>
      </c>
      <c r="C36" s="12" t="s">
        <v>13</v>
      </c>
      <c r="D36" s="7" t="s">
        <v>52</v>
      </c>
      <c r="E36" s="8" t="s">
        <v>123</v>
      </c>
      <c r="F36" s="7" t="s">
        <v>179</v>
      </c>
      <c r="G36" s="8" t="s">
        <v>225</v>
      </c>
      <c r="H36" s="7" t="s">
        <v>278</v>
      </c>
      <c r="I36" s="8" t="s">
        <v>331</v>
      </c>
      <c r="J36" s="7">
        <v>1</v>
      </c>
      <c r="K36" s="7"/>
    </row>
    <row r="37" spans="1:11" ht="36.75" thickBot="1" x14ac:dyDescent="0.3">
      <c r="A37" s="1"/>
      <c r="B37" s="11">
        <f t="shared" si="0"/>
        <v>35</v>
      </c>
      <c r="C37" s="13" t="s">
        <v>13</v>
      </c>
      <c r="D37" s="9" t="s">
        <v>53</v>
      </c>
      <c r="E37" s="10" t="s">
        <v>124</v>
      </c>
      <c r="F37" s="9" t="s">
        <v>180</v>
      </c>
      <c r="G37" s="10" t="s">
        <v>226</v>
      </c>
      <c r="H37" s="9" t="s">
        <v>279</v>
      </c>
      <c r="I37" s="8" t="s">
        <v>331</v>
      </c>
      <c r="J37" s="9">
        <v>2</v>
      </c>
      <c r="K37" s="9"/>
    </row>
    <row r="38" spans="1:11" ht="36.75" thickBot="1" x14ac:dyDescent="0.3">
      <c r="A38" s="1"/>
      <c r="B38" s="11">
        <f>ROW(B38) - ROW($B$2)</f>
        <v>36</v>
      </c>
      <c r="C38" s="12" t="s">
        <v>13</v>
      </c>
      <c r="D38" s="7" t="s">
        <v>54</v>
      </c>
      <c r="E38" s="8" t="s">
        <v>125</v>
      </c>
      <c r="F38" s="7" t="s">
        <v>179</v>
      </c>
      <c r="G38" s="8" t="s">
        <v>227</v>
      </c>
      <c r="H38" s="7" t="s">
        <v>279</v>
      </c>
      <c r="I38" s="8" t="s">
        <v>331</v>
      </c>
      <c r="J38" s="7">
        <v>3</v>
      </c>
      <c r="K38" s="7"/>
    </row>
    <row r="39" spans="1:11" ht="15.75" thickBot="1" x14ac:dyDescent="0.3">
      <c r="A39" s="1"/>
      <c r="B39" s="11">
        <f t="shared" si="0"/>
        <v>37</v>
      </c>
      <c r="C39" s="13" t="s">
        <v>14</v>
      </c>
      <c r="D39" s="9" t="s">
        <v>55</v>
      </c>
      <c r="E39" s="10" t="s">
        <v>126</v>
      </c>
      <c r="F39" s="9" t="s">
        <v>181</v>
      </c>
      <c r="G39" s="10" t="s">
        <v>228</v>
      </c>
      <c r="H39" s="9" t="s">
        <v>263</v>
      </c>
      <c r="I39" s="10" t="s">
        <v>308</v>
      </c>
      <c r="J39" s="9">
        <v>2</v>
      </c>
      <c r="K39" s="9"/>
    </row>
    <row r="40" spans="1:11" ht="15.75" thickBot="1" x14ac:dyDescent="0.3">
      <c r="A40" s="1"/>
      <c r="B40" s="11">
        <f>ROW(B40) - ROW($B$2)</f>
        <v>38</v>
      </c>
      <c r="C40" s="13" t="s">
        <v>14</v>
      </c>
      <c r="D40" s="7" t="s">
        <v>56</v>
      </c>
      <c r="E40" s="8" t="s">
        <v>127</v>
      </c>
      <c r="F40" s="7" t="s">
        <v>182</v>
      </c>
      <c r="G40" s="8" t="s">
        <v>229</v>
      </c>
      <c r="H40" s="7" t="s">
        <v>263</v>
      </c>
      <c r="I40" s="8" t="s">
        <v>309</v>
      </c>
      <c r="J40" s="7">
        <v>6</v>
      </c>
      <c r="K40" s="7"/>
    </row>
    <row r="41" spans="1:11" ht="15.75" thickBot="1" x14ac:dyDescent="0.3">
      <c r="A41" s="1"/>
      <c r="B41" s="11">
        <f t="shared" si="0"/>
        <v>39</v>
      </c>
      <c r="C41" s="13" t="s">
        <v>14</v>
      </c>
      <c r="D41" s="9" t="s">
        <v>342</v>
      </c>
      <c r="E41" s="10" t="s">
        <v>128</v>
      </c>
      <c r="F41" s="9" t="s">
        <v>182</v>
      </c>
      <c r="G41" s="10" t="s">
        <v>230</v>
      </c>
      <c r="H41" s="9" t="s">
        <v>263</v>
      </c>
      <c r="I41" s="10" t="s">
        <v>310</v>
      </c>
      <c r="J41" s="9">
        <v>2</v>
      </c>
      <c r="K41" s="9"/>
    </row>
    <row r="42" spans="1:11" ht="15.75" thickBot="1" x14ac:dyDescent="0.3">
      <c r="A42" s="1"/>
      <c r="B42" s="11"/>
      <c r="C42" s="13" t="s">
        <v>14</v>
      </c>
      <c r="D42" s="14" t="s">
        <v>343</v>
      </c>
      <c r="E42" s="15" t="s">
        <v>128</v>
      </c>
      <c r="F42" s="14" t="s">
        <v>182</v>
      </c>
      <c r="G42" s="15" t="s">
        <v>230</v>
      </c>
      <c r="H42" s="14" t="s">
        <v>263</v>
      </c>
      <c r="I42" s="15" t="s">
        <v>310</v>
      </c>
      <c r="J42" s="14">
        <v>2</v>
      </c>
      <c r="K42" s="16" t="s">
        <v>330</v>
      </c>
    </row>
    <row r="43" spans="1:11" ht="15.75" thickBot="1" x14ac:dyDescent="0.3">
      <c r="A43" s="1"/>
      <c r="B43" s="11">
        <f>ROW(B43) - ROW($B$2)</f>
        <v>41</v>
      </c>
      <c r="C43" s="13" t="s">
        <v>14</v>
      </c>
      <c r="D43" s="7" t="s">
        <v>57</v>
      </c>
      <c r="E43" s="8" t="s">
        <v>129</v>
      </c>
      <c r="F43" s="7" t="s">
        <v>181</v>
      </c>
      <c r="G43" s="8" t="s">
        <v>231</v>
      </c>
      <c r="H43" s="7" t="s">
        <v>263</v>
      </c>
      <c r="I43" s="8" t="s">
        <v>309</v>
      </c>
      <c r="J43" s="7">
        <v>5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14</v>
      </c>
      <c r="D44" s="9" t="s">
        <v>58</v>
      </c>
      <c r="E44" s="10" t="s">
        <v>130</v>
      </c>
      <c r="F44" s="9" t="s">
        <v>183</v>
      </c>
      <c r="G44" s="10" t="s">
        <v>232</v>
      </c>
      <c r="H44" s="9" t="s">
        <v>263</v>
      </c>
      <c r="I44" s="10" t="s">
        <v>310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3" t="s">
        <v>14</v>
      </c>
      <c r="D45" s="14" t="s">
        <v>59</v>
      </c>
      <c r="E45" s="15" t="s">
        <v>129</v>
      </c>
      <c r="F45" s="14" t="s">
        <v>181</v>
      </c>
      <c r="G45" s="15" t="s">
        <v>231</v>
      </c>
      <c r="H45" s="14" t="s">
        <v>263</v>
      </c>
      <c r="I45" s="15" t="s">
        <v>311</v>
      </c>
      <c r="J45" s="14">
        <v>3</v>
      </c>
      <c r="K45" s="16" t="s">
        <v>330</v>
      </c>
    </row>
    <row r="46" spans="1:11" ht="36.75" thickBot="1" x14ac:dyDescent="0.3">
      <c r="A46" s="1"/>
      <c r="B46" s="11">
        <f t="shared" si="0"/>
        <v>44</v>
      </c>
      <c r="C46" s="13" t="s">
        <v>14</v>
      </c>
      <c r="D46" s="9" t="s">
        <v>60</v>
      </c>
      <c r="E46" s="10" t="s">
        <v>131</v>
      </c>
      <c r="F46" s="9" t="s">
        <v>181</v>
      </c>
      <c r="G46" s="10" t="s">
        <v>233</v>
      </c>
      <c r="H46" s="9" t="s">
        <v>280</v>
      </c>
      <c r="I46" s="10" t="s">
        <v>312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3" t="s">
        <v>14</v>
      </c>
      <c r="D47" s="7" t="s">
        <v>61</v>
      </c>
      <c r="E47" s="8" t="s">
        <v>132</v>
      </c>
      <c r="F47" s="7" t="s">
        <v>182</v>
      </c>
      <c r="G47" s="8" t="s">
        <v>234</v>
      </c>
      <c r="H47" s="7" t="s">
        <v>263</v>
      </c>
      <c r="I47" s="8" t="s">
        <v>313</v>
      </c>
      <c r="J47" s="7">
        <v>18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14</v>
      </c>
      <c r="D48" s="9" t="s">
        <v>62</v>
      </c>
      <c r="E48" s="10" t="s">
        <v>133</v>
      </c>
      <c r="F48" s="9" t="s">
        <v>181</v>
      </c>
      <c r="G48" s="10" t="s">
        <v>235</v>
      </c>
      <c r="H48" s="9" t="s">
        <v>280</v>
      </c>
      <c r="I48" s="10" t="s">
        <v>314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14</v>
      </c>
      <c r="D49" s="7" t="s">
        <v>63</v>
      </c>
      <c r="E49" s="8" t="s">
        <v>134</v>
      </c>
      <c r="F49" s="7" t="s">
        <v>181</v>
      </c>
      <c r="G49" s="8" t="s">
        <v>236</v>
      </c>
      <c r="H49" s="7" t="s">
        <v>281</v>
      </c>
      <c r="I49" s="8" t="s">
        <v>310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64</v>
      </c>
      <c r="E50" s="10" t="s">
        <v>135</v>
      </c>
      <c r="F50" s="9" t="s">
        <v>182</v>
      </c>
      <c r="G50" s="10" t="s">
        <v>237</v>
      </c>
      <c r="H50" s="9" t="s">
        <v>263</v>
      </c>
      <c r="I50" s="10" t="s">
        <v>315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14</v>
      </c>
      <c r="D51" s="7" t="s">
        <v>65</v>
      </c>
      <c r="E51" s="8" t="s">
        <v>136</v>
      </c>
      <c r="F51" s="7" t="s">
        <v>182</v>
      </c>
      <c r="G51" s="8" t="s">
        <v>238</v>
      </c>
      <c r="H51" s="7" t="s">
        <v>263</v>
      </c>
      <c r="I51" s="8" t="s">
        <v>316</v>
      </c>
      <c r="J51" s="7">
        <v>10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9" t="s">
        <v>66</v>
      </c>
      <c r="E52" s="10" t="s">
        <v>137</v>
      </c>
      <c r="F52" s="9" t="s">
        <v>182</v>
      </c>
      <c r="G52" s="10" t="s">
        <v>239</v>
      </c>
      <c r="H52" s="9" t="s">
        <v>263</v>
      </c>
      <c r="I52" s="10" t="s">
        <v>317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14</v>
      </c>
      <c r="D53" s="7" t="s">
        <v>345</v>
      </c>
      <c r="E53" s="8" t="s">
        <v>138</v>
      </c>
      <c r="F53" s="7" t="s">
        <v>182</v>
      </c>
      <c r="G53" s="8" t="s">
        <v>240</v>
      </c>
      <c r="H53" s="7" t="s">
        <v>263</v>
      </c>
      <c r="I53" s="8" t="s">
        <v>318</v>
      </c>
      <c r="J53" s="7">
        <v>2</v>
      </c>
      <c r="K53" s="7"/>
    </row>
    <row r="54" spans="1:11" ht="15.75" thickBot="1" x14ac:dyDescent="0.3">
      <c r="A54" s="1"/>
      <c r="B54" s="11"/>
      <c r="C54" s="12" t="s">
        <v>14</v>
      </c>
      <c r="D54" s="14" t="s">
        <v>344</v>
      </c>
      <c r="E54" s="15" t="s">
        <v>138</v>
      </c>
      <c r="F54" s="14" t="s">
        <v>182</v>
      </c>
      <c r="G54" s="15" t="s">
        <v>240</v>
      </c>
      <c r="H54" s="14" t="s">
        <v>263</v>
      </c>
      <c r="I54" s="15" t="s">
        <v>318</v>
      </c>
      <c r="J54" s="14">
        <v>1</v>
      </c>
      <c r="K54" s="16" t="s">
        <v>330</v>
      </c>
    </row>
    <row r="55" spans="1:11" ht="15.75" thickBot="1" x14ac:dyDescent="0.3">
      <c r="A55" s="1"/>
      <c r="B55" s="11">
        <f t="shared" si="0"/>
        <v>53</v>
      </c>
      <c r="C55" s="13" t="s">
        <v>14</v>
      </c>
      <c r="D55" s="9" t="s">
        <v>67</v>
      </c>
      <c r="E55" s="10" t="s">
        <v>139</v>
      </c>
      <c r="F55" s="9" t="s">
        <v>182</v>
      </c>
      <c r="G55" s="10" t="s">
        <v>241</v>
      </c>
      <c r="H55" s="9" t="s">
        <v>263</v>
      </c>
      <c r="I55" s="10" t="s">
        <v>310</v>
      </c>
      <c r="J55" s="9">
        <v>2</v>
      </c>
      <c r="K55" s="9"/>
    </row>
    <row r="56" spans="1:11" ht="15.75" thickBot="1" x14ac:dyDescent="0.3">
      <c r="A56" s="1"/>
      <c r="B56" s="11">
        <f>ROW(B56) - ROW($B$2)</f>
        <v>54</v>
      </c>
      <c r="C56" s="12" t="s">
        <v>14</v>
      </c>
      <c r="D56" s="7" t="s">
        <v>68</v>
      </c>
      <c r="E56" s="8" t="s">
        <v>140</v>
      </c>
      <c r="F56" s="7" t="s">
        <v>182</v>
      </c>
      <c r="G56" s="8" t="s">
        <v>242</v>
      </c>
      <c r="H56" s="7" t="s">
        <v>263</v>
      </c>
      <c r="I56" s="8" t="s">
        <v>319</v>
      </c>
      <c r="J56" s="7">
        <v>2</v>
      </c>
      <c r="K56" s="7"/>
    </row>
    <row r="57" spans="1:11" ht="15.75" thickBot="1" x14ac:dyDescent="0.3">
      <c r="A57" s="1"/>
      <c r="B57" s="11">
        <f t="shared" si="0"/>
        <v>55</v>
      </c>
      <c r="C57" s="13" t="s">
        <v>14</v>
      </c>
      <c r="D57" s="9" t="s">
        <v>69</v>
      </c>
      <c r="E57" s="10" t="s">
        <v>141</v>
      </c>
      <c r="F57" s="9" t="s">
        <v>182</v>
      </c>
      <c r="G57" s="10" t="s">
        <v>243</v>
      </c>
      <c r="H57" s="9" t="s">
        <v>263</v>
      </c>
      <c r="I57" s="10" t="s">
        <v>320</v>
      </c>
      <c r="J57" s="9">
        <v>1</v>
      </c>
      <c r="K57" s="9"/>
    </row>
    <row r="58" spans="1:11" ht="15.75" thickBot="1" x14ac:dyDescent="0.3">
      <c r="A58" s="1"/>
      <c r="B58" s="11">
        <f>ROW(B58) - ROW($B$2)</f>
        <v>56</v>
      </c>
      <c r="C58" s="13" t="s">
        <v>14</v>
      </c>
      <c r="D58" s="14" t="s">
        <v>70</v>
      </c>
      <c r="E58" s="15" t="s">
        <v>127</v>
      </c>
      <c r="F58" s="14" t="s">
        <v>182</v>
      </c>
      <c r="G58" s="15" t="s">
        <v>229</v>
      </c>
      <c r="H58" s="14" t="s">
        <v>263</v>
      </c>
      <c r="I58" s="15" t="s">
        <v>311</v>
      </c>
      <c r="J58" s="14">
        <v>1</v>
      </c>
      <c r="K58" s="16" t="s">
        <v>330</v>
      </c>
    </row>
    <row r="59" spans="1:11" ht="15.75" thickBot="1" x14ac:dyDescent="0.3">
      <c r="A59" s="1"/>
      <c r="B59" s="11">
        <f t="shared" si="0"/>
        <v>57</v>
      </c>
      <c r="C59" s="13" t="s">
        <v>14</v>
      </c>
      <c r="D59" s="9" t="s">
        <v>71</v>
      </c>
      <c r="E59" s="10" t="s">
        <v>142</v>
      </c>
      <c r="F59" s="9" t="s">
        <v>182</v>
      </c>
      <c r="G59" s="10" t="s">
        <v>244</v>
      </c>
      <c r="H59" s="9" t="s">
        <v>263</v>
      </c>
      <c r="I59" s="10" t="s">
        <v>321</v>
      </c>
      <c r="J59" s="9">
        <v>1</v>
      </c>
      <c r="K59" s="9"/>
    </row>
    <row r="60" spans="1:11" ht="15.75" thickBot="1" x14ac:dyDescent="0.3">
      <c r="A60" s="1"/>
      <c r="B60" s="11">
        <f>ROW(B60) - ROW($B$2)</f>
        <v>58</v>
      </c>
      <c r="C60" s="13" t="s">
        <v>14</v>
      </c>
      <c r="D60" s="7" t="s">
        <v>72</v>
      </c>
      <c r="E60" s="8" t="s">
        <v>143</v>
      </c>
      <c r="F60" s="7" t="s">
        <v>182</v>
      </c>
      <c r="G60" s="8" t="s">
        <v>245</v>
      </c>
      <c r="H60" s="7" t="s">
        <v>263</v>
      </c>
      <c r="I60" s="8" t="s">
        <v>322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14</v>
      </c>
      <c r="D61" s="9" t="s">
        <v>73</v>
      </c>
      <c r="E61" s="10" t="s">
        <v>144</v>
      </c>
      <c r="F61" s="9" t="s">
        <v>182</v>
      </c>
      <c r="G61" s="10" t="s">
        <v>246</v>
      </c>
      <c r="H61" s="9" t="s">
        <v>263</v>
      </c>
      <c r="I61" s="10" t="s">
        <v>323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3" t="s">
        <v>14</v>
      </c>
      <c r="D62" s="7" t="s">
        <v>74</v>
      </c>
      <c r="E62" s="8" t="s">
        <v>145</v>
      </c>
      <c r="F62" s="7" t="s">
        <v>182</v>
      </c>
      <c r="G62" s="8" t="s">
        <v>247</v>
      </c>
      <c r="H62" s="7" t="s">
        <v>263</v>
      </c>
      <c r="I62" s="8" t="s">
        <v>324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14</v>
      </c>
      <c r="D63" s="9" t="s">
        <v>75</v>
      </c>
      <c r="E63" s="10" t="s">
        <v>146</v>
      </c>
      <c r="F63" s="9" t="s">
        <v>182</v>
      </c>
      <c r="G63" s="10" t="s">
        <v>248</v>
      </c>
      <c r="H63" s="9" t="s">
        <v>263</v>
      </c>
      <c r="I63" s="10" t="s">
        <v>325</v>
      </c>
      <c r="J63" s="9">
        <v>1</v>
      </c>
      <c r="K63" s="9"/>
    </row>
    <row r="64" spans="1:11" ht="15.75" thickBot="1" x14ac:dyDescent="0.3">
      <c r="A64" s="1"/>
      <c r="B64" s="11"/>
      <c r="C64" s="13" t="s">
        <v>14</v>
      </c>
      <c r="D64" s="7" t="s">
        <v>347</v>
      </c>
      <c r="E64" s="8" t="s">
        <v>348</v>
      </c>
      <c r="F64" s="9" t="s">
        <v>181</v>
      </c>
      <c r="G64" s="8" t="s">
        <v>349</v>
      </c>
      <c r="H64" s="9" t="s">
        <v>263</v>
      </c>
      <c r="I64" s="8" t="s">
        <v>350</v>
      </c>
      <c r="J64" s="7">
        <v>1</v>
      </c>
      <c r="K64" s="7"/>
    </row>
    <row r="65" spans="1:11" ht="36.75" thickBot="1" x14ac:dyDescent="0.3">
      <c r="A65" s="1"/>
      <c r="B65" s="11">
        <f>ROW(B65) - ROW($B$2)</f>
        <v>63</v>
      </c>
      <c r="C65" s="12" t="s">
        <v>15</v>
      </c>
      <c r="D65" s="7" t="s">
        <v>76</v>
      </c>
      <c r="E65" s="8" t="s">
        <v>147</v>
      </c>
      <c r="F65" s="7" t="s">
        <v>332</v>
      </c>
      <c r="G65" s="8" t="s">
        <v>184</v>
      </c>
      <c r="H65" s="7" t="s">
        <v>282</v>
      </c>
      <c r="I65" s="8" t="s">
        <v>331</v>
      </c>
      <c r="J65" s="7">
        <v>2</v>
      </c>
      <c r="K65" s="7"/>
    </row>
    <row r="66" spans="1:11" ht="48.75" thickBot="1" x14ac:dyDescent="0.3">
      <c r="A66" s="1"/>
      <c r="B66" s="11">
        <f t="shared" si="0"/>
        <v>64</v>
      </c>
      <c r="C66" s="13" t="s">
        <v>16</v>
      </c>
      <c r="D66" s="9" t="s">
        <v>77</v>
      </c>
      <c r="E66" s="10" t="s">
        <v>148</v>
      </c>
      <c r="F66" s="7" t="s">
        <v>332</v>
      </c>
      <c r="G66" s="10" t="s">
        <v>185</v>
      </c>
      <c r="H66" s="9" t="s">
        <v>283</v>
      </c>
      <c r="I66" s="8" t="s">
        <v>331</v>
      </c>
      <c r="J66" s="9">
        <v>3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17</v>
      </c>
      <c r="D67" s="7" t="s">
        <v>78</v>
      </c>
      <c r="E67" s="8" t="s">
        <v>149</v>
      </c>
      <c r="F67" s="7" t="s">
        <v>332</v>
      </c>
      <c r="G67" s="8" t="s">
        <v>186</v>
      </c>
      <c r="H67" s="7" t="s">
        <v>284</v>
      </c>
      <c r="I67" s="8" t="s">
        <v>331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18</v>
      </c>
      <c r="D68" s="9" t="s">
        <v>79</v>
      </c>
      <c r="E68" s="10" t="s">
        <v>150</v>
      </c>
      <c r="F68" s="9" t="s">
        <v>187</v>
      </c>
      <c r="G68" s="10" t="s">
        <v>249</v>
      </c>
      <c r="H68" s="9" t="s">
        <v>285</v>
      </c>
      <c r="I68" s="8" t="s">
        <v>331</v>
      </c>
      <c r="J68" s="9">
        <v>1</v>
      </c>
      <c r="K68" s="9"/>
    </row>
    <row r="69" spans="1:11" ht="24.75" thickBot="1" x14ac:dyDescent="0.3">
      <c r="A69" s="1"/>
      <c r="B69" s="11">
        <f>ROW(B69) - ROW($B$2)</f>
        <v>67</v>
      </c>
      <c r="C69" s="12" t="s">
        <v>18</v>
      </c>
      <c r="D69" s="7" t="s">
        <v>80</v>
      </c>
      <c r="E69" s="8" t="s">
        <v>151</v>
      </c>
      <c r="F69" s="7" t="s">
        <v>188</v>
      </c>
      <c r="G69" s="8" t="s">
        <v>250</v>
      </c>
      <c r="H69" s="7" t="s">
        <v>286</v>
      </c>
      <c r="I69" s="8" t="s">
        <v>331</v>
      </c>
      <c r="J69" s="7">
        <v>1</v>
      </c>
      <c r="K69" s="7"/>
    </row>
    <row r="70" spans="1:11" ht="24.75" thickBot="1" x14ac:dyDescent="0.3">
      <c r="A70" s="1"/>
      <c r="B70" s="11">
        <f t="shared" si="0"/>
        <v>68</v>
      </c>
      <c r="C70" s="13" t="s">
        <v>18</v>
      </c>
      <c r="D70" s="9" t="s">
        <v>81</v>
      </c>
      <c r="E70" s="10" t="s">
        <v>152</v>
      </c>
      <c r="F70" s="9" t="s">
        <v>189</v>
      </c>
      <c r="G70" s="10" t="s">
        <v>251</v>
      </c>
      <c r="H70" s="9" t="s">
        <v>285</v>
      </c>
      <c r="I70" s="8" t="s">
        <v>331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18</v>
      </c>
      <c r="D71" s="14" t="s">
        <v>82</v>
      </c>
      <c r="E71" s="15" t="s">
        <v>153</v>
      </c>
      <c r="F71" s="14" t="s">
        <v>190</v>
      </c>
      <c r="G71" s="15" t="s">
        <v>252</v>
      </c>
      <c r="H71" s="14" t="s">
        <v>285</v>
      </c>
      <c r="I71" s="15" t="s">
        <v>311</v>
      </c>
      <c r="J71" s="14">
        <v>1</v>
      </c>
      <c r="K71" s="16" t="s">
        <v>330</v>
      </c>
    </row>
    <row r="72" spans="1:11" ht="24.75" thickBot="1" x14ac:dyDescent="0.3">
      <c r="A72" s="1"/>
      <c r="B72" s="11">
        <f t="shared" si="0"/>
        <v>70</v>
      </c>
      <c r="C72" s="13" t="s">
        <v>18</v>
      </c>
      <c r="D72" s="14" t="s">
        <v>83</v>
      </c>
      <c r="E72" s="15" t="s">
        <v>154</v>
      </c>
      <c r="F72" s="14" t="s">
        <v>191</v>
      </c>
      <c r="G72" s="15" t="s">
        <v>253</v>
      </c>
      <c r="H72" s="14" t="s">
        <v>268</v>
      </c>
      <c r="I72" s="15" t="s">
        <v>311</v>
      </c>
      <c r="J72" s="14">
        <v>1</v>
      </c>
      <c r="K72" s="16" t="s">
        <v>330</v>
      </c>
    </row>
    <row r="73" spans="1:11" ht="15.75" thickBot="1" x14ac:dyDescent="0.3">
      <c r="A73" s="1"/>
      <c r="B73" s="11">
        <f>ROW(B73) - ROW($B$2)</f>
        <v>71</v>
      </c>
      <c r="C73" s="12" t="s">
        <v>19</v>
      </c>
      <c r="D73" s="7" t="s">
        <v>84</v>
      </c>
      <c r="E73" s="8" t="s">
        <v>155</v>
      </c>
      <c r="F73" s="7" t="s">
        <v>192</v>
      </c>
      <c r="G73" s="8" t="s">
        <v>254</v>
      </c>
      <c r="H73" s="7" t="s">
        <v>287</v>
      </c>
      <c r="I73" s="8" t="s">
        <v>331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18</v>
      </c>
      <c r="D74" s="9" t="s">
        <v>85</v>
      </c>
      <c r="E74" s="10" t="s">
        <v>156</v>
      </c>
      <c r="F74" s="9" t="s">
        <v>193</v>
      </c>
      <c r="G74" s="10" t="s">
        <v>255</v>
      </c>
      <c r="H74" s="9" t="s">
        <v>288</v>
      </c>
      <c r="I74" s="8" t="s">
        <v>331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18</v>
      </c>
      <c r="D75" s="7" t="s">
        <v>86</v>
      </c>
      <c r="E75" s="8" t="s">
        <v>157</v>
      </c>
      <c r="F75" s="7" t="s">
        <v>194</v>
      </c>
      <c r="G75" s="8" t="s">
        <v>256</v>
      </c>
      <c r="H75" s="7" t="s">
        <v>287</v>
      </c>
      <c r="I75" s="8" t="s">
        <v>331</v>
      </c>
      <c r="J75" s="7">
        <v>1</v>
      </c>
      <c r="K75" s="7"/>
    </row>
    <row r="76" spans="1:11" ht="36.75" thickBot="1" x14ac:dyDescent="0.3">
      <c r="A76" s="1"/>
      <c r="B76" s="11">
        <f t="shared" si="0"/>
        <v>74</v>
      </c>
      <c r="C76" s="13" t="s">
        <v>18</v>
      </c>
      <c r="D76" s="9" t="s">
        <v>87</v>
      </c>
      <c r="E76" s="10" t="s">
        <v>158</v>
      </c>
      <c r="F76" s="9" t="s">
        <v>195</v>
      </c>
      <c r="G76" s="10" t="s">
        <v>257</v>
      </c>
      <c r="H76" s="9" t="s">
        <v>289</v>
      </c>
      <c r="I76" s="8" t="s">
        <v>331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18</v>
      </c>
      <c r="D77" s="7" t="s">
        <v>88</v>
      </c>
      <c r="E77" s="8" t="s">
        <v>159</v>
      </c>
      <c r="F77" s="7" t="s">
        <v>196</v>
      </c>
      <c r="G77" s="8" t="s">
        <v>258</v>
      </c>
      <c r="H77" s="7" t="s">
        <v>290</v>
      </c>
      <c r="I77" s="8" t="s">
        <v>331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18</v>
      </c>
      <c r="D78" s="9" t="s">
        <v>89</v>
      </c>
      <c r="E78" s="10" t="s">
        <v>160</v>
      </c>
      <c r="F78" s="9" t="s">
        <v>197</v>
      </c>
      <c r="G78" s="10" t="s">
        <v>259</v>
      </c>
      <c r="H78" s="9" t="s">
        <v>291</v>
      </c>
      <c r="I78" s="8" t="s">
        <v>331</v>
      </c>
      <c r="J78" s="9">
        <v>1</v>
      </c>
      <c r="K78" s="9"/>
    </row>
    <row r="79" spans="1:11" ht="24.75" thickBot="1" x14ac:dyDescent="0.3">
      <c r="A79" s="1"/>
      <c r="B79" s="11">
        <f>ROW(B79) - ROW($B$2)</f>
        <v>77</v>
      </c>
      <c r="C79" s="12" t="s">
        <v>20</v>
      </c>
      <c r="D79" s="7" t="s">
        <v>90</v>
      </c>
      <c r="E79" s="8" t="s">
        <v>161</v>
      </c>
      <c r="F79" s="7" t="s">
        <v>332</v>
      </c>
      <c r="G79" s="8" t="s">
        <v>260</v>
      </c>
      <c r="H79" s="7" t="s">
        <v>292</v>
      </c>
      <c r="I79" s="8" t="s">
        <v>326</v>
      </c>
      <c r="J79" s="7">
        <v>1</v>
      </c>
      <c r="K79" s="7"/>
    </row>
    <row r="80" spans="1:11" ht="48.75" thickBot="1" x14ac:dyDescent="0.3">
      <c r="B80" s="11">
        <f t="shared" ref="B80:B81" si="1">ROW(B80) - ROW($B$2)</f>
        <v>78</v>
      </c>
      <c r="C80" s="13" t="s">
        <v>333</v>
      </c>
      <c r="D80" s="9" t="s">
        <v>331</v>
      </c>
      <c r="E80" s="10" t="s">
        <v>351</v>
      </c>
      <c r="F80" s="9" t="s">
        <v>331</v>
      </c>
      <c r="G80" s="10" t="s">
        <v>333</v>
      </c>
      <c r="H80" s="9" t="s">
        <v>331</v>
      </c>
      <c r="I80" s="10" t="s">
        <v>331</v>
      </c>
      <c r="J80" s="9">
        <v>1</v>
      </c>
      <c r="K80" s="17" t="s">
        <v>334</v>
      </c>
    </row>
    <row r="81" spans="2:11" ht="48.75" thickBot="1" x14ac:dyDescent="0.3">
      <c r="B81" s="11">
        <f t="shared" si="1"/>
        <v>79</v>
      </c>
      <c r="C81" s="13" t="s">
        <v>335</v>
      </c>
      <c r="D81" s="9" t="s">
        <v>331</v>
      </c>
      <c r="E81" s="10" t="s">
        <v>336</v>
      </c>
      <c r="F81" s="9" t="s">
        <v>331</v>
      </c>
      <c r="G81" s="10" t="s">
        <v>335</v>
      </c>
      <c r="H81" s="9" t="s">
        <v>331</v>
      </c>
      <c r="I81" s="10" t="s">
        <v>331</v>
      </c>
      <c r="J81" s="9">
        <v>1</v>
      </c>
      <c r="K81" s="17" t="s">
        <v>335</v>
      </c>
    </row>
  </sheetData>
  <mergeCells count="1">
    <mergeCell ref="I1:K1"/>
  </mergeCells>
  <hyperlinks>
    <hyperlink ref="K81" r:id="rId1" xr:uid="{00000000-0004-0000-0000-000000000000}"/>
    <hyperlink ref="K80" r:id="rId2" xr:uid="{00000000-0004-0000-0000-000001000000}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2019-12-12T10:34:26Z</dcterms:created>
  <dcterms:modified xsi:type="dcterms:W3CDTF">2025-09-03T10:02:43Z</dcterms:modified>
</cp:coreProperties>
</file>